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00adbb9054380db/เดสก์ท็อป/TCAS AI Practice App/"/>
    </mc:Choice>
  </mc:AlternateContent>
  <xr:revisionPtr revIDLastSave="0" documentId="11_585234FF23F9AC2BA6F7FB390FF6B87B39718B7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ssumptions" sheetId="2" r:id="rId2"/>
    <sheet name="Conservative" sheetId="3" r:id="rId3"/>
    <sheet name="Base" sheetId="4" r:id="rId4"/>
    <sheet name="Optimist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M12" i="5"/>
  <c r="L12" i="5"/>
  <c r="K12" i="5"/>
  <c r="J12" i="5"/>
  <c r="I12" i="5"/>
  <c r="H12" i="5"/>
  <c r="G12" i="5"/>
  <c r="F12" i="5"/>
  <c r="E12" i="5"/>
  <c r="D12" i="5"/>
  <c r="C12" i="5"/>
  <c r="B12" i="5"/>
  <c r="M6" i="5"/>
  <c r="L6" i="5"/>
  <c r="K6" i="5"/>
  <c r="J6" i="5"/>
  <c r="I6" i="5"/>
  <c r="H6" i="5"/>
  <c r="G6" i="5"/>
  <c r="F6" i="5"/>
  <c r="E6" i="5"/>
  <c r="D6" i="5"/>
  <c r="C6" i="5"/>
  <c r="B6" i="5"/>
  <c r="M4" i="5"/>
  <c r="M5" i="5" s="1"/>
  <c r="M7" i="5" s="1"/>
  <c r="M8" i="5" s="1"/>
  <c r="M9" i="5" s="1"/>
  <c r="L4" i="5"/>
  <c r="L5" i="5" s="1"/>
  <c r="K4" i="5"/>
  <c r="K5" i="5" s="1"/>
  <c r="J4" i="5"/>
  <c r="J5" i="5" s="1"/>
  <c r="I4" i="5"/>
  <c r="I5" i="5" s="1"/>
  <c r="H4" i="5"/>
  <c r="H5" i="5" s="1"/>
  <c r="G4" i="5"/>
  <c r="G5" i="5" s="1"/>
  <c r="F4" i="5"/>
  <c r="F5" i="5" s="1"/>
  <c r="E4" i="5"/>
  <c r="E5" i="5" s="1"/>
  <c r="D4" i="5"/>
  <c r="D5" i="5" s="1"/>
  <c r="D7" i="5" s="1"/>
  <c r="D8" i="5" s="1"/>
  <c r="D9" i="5" s="1"/>
  <c r="C4" i="5"/>
  <c r="C5" i="5" s="1"/>
  <c r="B4" i="5"/>
  <c r="B5" i="5" s="1"/>
  <c r="B17" i="4"/>
  <c r="M12" i="4"/>
  <c r="L12" i="4"/>
  <c r="K12" i="4"/>
  <c r="J12" i="4"/>
  <c r="I12" i="4"/>
  <c r="H12" i="4"/>
  <c r="G12" i="4"/>
  <c r="F12" i="4"/>
  <c r="E12" i="4"/>
  <c r="D12" i="4"/>
  <c r="C12" i="4"/>
  <c r="B12" i="4"/>
  <c r="B10" i="4"/>
  <c r="B11" i="4" s="1"/>
  <c r="B13" i="4" s="1"/>
  <c r="M6" i="4"/>
  <c r="L6" i="4"/>
  <c r="K6" i="4"/>
  <c r="J6" i="4"/>
  <c r="I6" i="4"/>
  <c r="H6" i="4"/>
  <c r="G6" i="4"/>
  <c r="F6" i="4"/>
  <c r="E6" i="4"/>
  <c r="D6" i="4"/>
  <c r="C6" i="4"/>
  <c r="B6" i="4"/>
  <c r="B5" i="4"/>
  <c r="M4" i="4"/>
  <c r="M5" i="4" s="1"/>
  <c r="L4" i="4"/>
  <c r="L5" i="4" s="1"/>
  <c r="K4" i="4"/>
  <c r="K5" i="4" s="1"/>
  <c r="J4" i="4"/>
  <c r="J5" i="4" s="1"/>
  <c r="I4" i="4"/>
  <c r="I5" i="4" s="1"/>
  <c r="I7" i="4" s="1"/>
  <c r="I8" i="4" s="1"/>
  <c r="I9" i="4" s="1"/>
  <c r="H4" i="4"/>
  <c r="H5" i="4" s="1"/>
  <c r="G4" i="4"/>
  <c r="G5" i="4" s="1"/>
  <c r="F4" i="4"/>
  <c r="F5" i="4" s="1"/>
  <c r="E4" i="4"/>
  <c r="E5" i="4" s="1"/>
  <c r="E7" i="4" s="1"/>
  <c r="E8" i="4" s="1"/>
  <c r="E9" i="4" s="1"/>
  <c r="D4" i="4"/>
  <c r="D5" i="4" s="1"/>
  <c r="C4" i="4"/>
  <c r="C5" i="4" s="1"/>
  <c r="C10" i="4" s="1"/>
  <c r="C11" i="4" s="1"/>
  <c r="C13" i="4" s="1"/>
  <c r="B4" i="4"/>
  <c r="B17" i="3"/>
  <c r="M12" i="3"/>
  <c r="L12" i="3"/>
  <c r="K12" i="3"/>
  <c r="J12" i="3"/>
  <c r="I12" i="3"/>
  <c r="H12" i="3"/>
  <c r="G12" i="3"/>
  <c r="F12" i="3"/>
  <c r="E12" i="3"/>
  <c r="D12" i="3"/>
  <c r="C12" i="3"/>
  <c r="B12" i="3"/>
  <c r="C7" i="3"/>
  <c r="C8" i="3" s="1"/>
  <c r="C9" i="3" s="1"/>
  <c r="C14" i="3" s="1"/>
  <c r="M6" i="3"/>
  <c r="L6" i="3"/>
  <c r="K6" i="3"/>
  <c r="J6" i="3"/>
  <c r="I6" i="3"/>
  <c r="H6" i="3"/>
  <c r="G6" i="3"/>
  <c r="F6" i="3"/>
  <c r="E6" i="3"/>
  <c r="D6" i="3"/>
  <c r="C6" i="3"/>
  <c r="B6" i="3"/>
  <c r="C5" i="3"/>
  <c r="C10" i="3" s="1"/>
  <c r="C11" i="3" s="1"/>
  <c r="C13" i="3" s="1"/>
  <c r="M4" i="3"/>
  <c r="M5" i="3" s="1"/>
  <c r="M7" i="3" s="1"/>
  <c r="M8" i="3" s="1"/>
  <c r="M9" i="3" s="1"/>
  <c r="L4" i="3"/>
  <c r="L5" i="3" s="1"/>
  <c r="K4" i="3"/>
  <c r="K5" i="3" s="1"/>
  <c r="J4" i="3"/>
  <c r="J5" i="3" s="1"/>
  <c r="J7" i="3" s="1"/>
  <c r="J8" i="3" s="1"/>
  <c r="J9" i="3" s="1"/>
  <c r="I4" i="3"/>
  <c r="I5" i="3" s="1"/>
  <c r="H4" i="3"/>
  <c r="H5" i="3" s="1"/>
  <c r="H7" i="3" s="1"/>
  <c r="H8" i="3" s="1"/>
  <c r="H9" i="3" s="1"/>
  <c r="G4" i="3"/>
  <c r="G5" i="3" s="1"/>
  <c r="H10" i="3" s="1"/>
  <c r="H11" i="3" s="1"/>
  <c r="H13" i="3" s="1"/>
  <c r="F4" i="3"/>
  <c r="F5" i="3" s="1"/>
  <c r="E4" i="3"/>
  <c r="E5" i="3" s="1"/>
  <c r="D4" i="3"/>
  <c r="D5" i="3" s="1"/>
  <c r="C4" i="3"/>
  <c r="B4" i="3"/>
  <c r="B5" i="3" s="1"/>
  <c r="D4" i="1"/>
  <c r="C4" i="1"/>
  <c r="B4" i="1"/>
  <c r="D10" i="4" l="1"/>
  <c r="D11" i="4" s="1"/>
  <c r="D13" i="4" s="1"/>
  <c r="I10" i="3"/>
  <c r="I11" i="3" s="1"/>
  <c r="I13" i="3" s="1"/>
  <c r="B7" i="4"/>
  <c r="D10" i="3"/>
  <c r="D11" i="3" s="1"/>
  <c r="D13" i="3" s="1"/>
  <c r="D7" i="3"/>
  <c r="D8" i="3" s="1"/>
  <c r="D9" i="3" s="1"/>
  <c r="D14" i="3" s="1"/>
  <c r="E7" i="3"/>
  <c r="E8" i="3" s="1"/>
  <c r="E9" i="3" s="1"/>
  <c r="E10" i="3"/>
  <c r="E11" i="3" s="1"/>
  <c r="E13" i="3" s="1"/>
  <c r="F7" i="3"/>
  <c r="F8" i="3" s="1"/>
  <c r="F9" i="3" s="1"/>
  <c r="F10" i="3"/>
  <c r="F11" i="3" s="1"/>
  <c r="F13" i="3" s="1"/>
  <c r="B7" i="5"/>
  <c r="B10" i="5"/>
  <c r="B11" i="5" s="1"/>
  <c r="B13" i="5" s="1"/>
  <c r="F7" i="4"/>
  <c r="F8" i="4" s="1"/>
  <c r="F9" i="4" s="1"/>
  <c r="F10" i="4"/>
  <c r="F11" i="4" s="1"/>
  <c r="F13" i="4" s="1"/>
  <c r="C7" i="5"/>
  <c r="C8" i="5" s="1"/>
  <c r="C9" i="5" s="1"/>
  <c r="C10" i="5"/>
  <c r="C11" i="5" s="1"/>
  <c r="C13" i="5" s="1"/>
  <c r="K7" i="3"/>
  <c r="K8" i="3" s="1"/>
  <c r="K9" i="3" s="1"/>
  <c r="K10" i="3"/>
  <c r="K11" i="3" s="1"/>
  <c r="K13" i="3" s="1"/>
  <c r="G7" i="4"/>
  <c r="G8" i="4" s="1"/>
  <c r="G9" i="4" s="1"/>
  <c r="G10" i="4"/>
  <c r="G11" i="4" s="1"/>
  <c r="G13" i="4" s="1"/>
  <c r="L7" i="3"/>
  <c r="L8" i="3" s="1"/>
  <c r="L9" i="3" s="1"/>
  <c r="L10" i="3"/>
  <c r="L11" i="3" s="1"/>
  <c r="L13" i="3" s="1"/>
  <c r="H7" i="4"/>
  <c r="H8" i="4" s="1"/>
  <c r="H9" i="4" s="1"/>
  <c r="H10" i="4"/>
  <c r="H11" i="4" s="1"/>
  <c r="H13" i="4" s="1"/>
  <c r="E7" i="5"/>
  <c r="E8" i="5" s="1"/>
  <c r="E9" i="5" s="1"/>
  <c r="E10" i="5"/>
  <c r="E11" i="5" s="1"/>
  <c r="E13" i="5" s="1"/>
  <c r="F7" i="5"/>
  <c r="F8" i="5" s="1"/>
  <c r="F9" i="5" s="1"/>
  <c r="F10" i="5"/>
  <c r="F11" i="5" s="1"/>
  <c r="F13" i="5" s="1"/>
  <c r="J7" i="4"/>
  <c r="J8" i="4" s="1"/>
  <c r="J9" i="4" s="1"/>
  <c r="J14" i="4" s="1"/>
  <c r="J10" i="4"/>
  <c r="J11" i="4" s="1"/>
  <c r="J13" i="4" s="1"/>
  <c r="G7" i="5"/>
  <c r="G8" i="5" s="1"/>
  <c r="G9" i="5" s="1"/>
  <c r="G10" i="5"/>
  <c r="G11" i="5" s="1"/>
  <c r="G13" i="5" s="1"/>
  <c r="K7" i="4"/>
  <c r="K8" i="4" s="1"/>
  <c r="K9" i="4" s="1"/>
  <c r="K14" i="4" s="1"/>
  <c r="K10" i="4"/>
  <c r="K11" i="4" s="1"/>
  <c r="K13" i="4" s="1"/>
  <c r="H7" i="5"/>
  <c r="H8" i="5" s="1"/>
  <c r="H9" i="5" s="1"/>
  <c r="H10" i="5"/>
  <c r="H11" i="5" s="1"/>
  <c r="H13" i="5" s="1"/>
  <c r="H14" i="3"/>
  <c r="L7" i="4"/>
  <c r="L8" i="4" s="1"/>
  <c r="L9" i="4" s="1"/>
  <c r="L10" i="4"/>
  <c r="L11" i="4" s="1"/>
  <c r="L13" i="4" s="1"/>
  <c r="I10" i="5"/>
  <c r="I11" i="5" s="1"/>
  <c r="I13" i="5" s="1"/>
  <c r="I7" i="5"/>
  <c r="I8" i="5" s="1"/>
  <c r="I9" i="5" s="1"/>
  <c r="I14" i="5" s="1"/>
  <c r="M7" i="4"/>
  <c r="M8" i="4" s="1"/>
  <c r="M9" i="4" s="1"/>
  <c r="M14" i="4" s="1"/>
  <c r="M10" i="4"/>
  <c r="M11" i="4" s="1"/>
  <c r="M13" i="4" s="1"/>
  <c r="J7" i="5"/>
  <c r="J8" i="5" s="1"/>
  <c r="J9" i="5" s="1"/>
  <c r="J10" i="5"/>
  <c r="J11" i="5" s="1"/>
  <c r="J13" i="5" s="1"/>
  <c r="B8" i="4"/>
  <c r="K10" i="5"/>
  <c r="K11" i="5" s="1"/>
  <c r="K13" i="5" s="1"/>
  <c r="K7" i="5"/>
  <c r="K8" i="5" s="1"/>
  <c r="K9" i="5" s="1"/>
  <c r="K14" i="5" s="1"/>
  <c r="M14" i="3"/>
  <c r="L10" i="5"/>
  <c r="L11" i="5" s="1"/>
  <c r="L13" i="5" s="1"/>
  <c r="L7" i="5"/>
  <c r="L8" i="5" s="1"/>
  <c r="L9" i="5" s="1"/>
  <c r="D14" i="5"/>
  <c r="B10" i="3"/>
  <c r="B11" i="3" s="1"/>
  <c r="B13" i="3" s="1"/>
  <c r="B7" i="3"/>
  <c r="I14" i="4"/>
  <c r="M10" i="5"/>
  <c r="M11" i="5" s="1"/>
  <c r="M13" i="5" s="1"/>
  <c r="M14" i="5" s="1"/>
  <c r="J10" i="3"/>
  <c r="J11" i="3" s="1"/>
  <c r="J13" i="3" s="1"/>
  <c r="J14" i="3" s="1"/>
  <c r="E10" i="4"/>
  <c r="E11" i="4" s="1"/>
  <c r="E13" i="4" s="1"/>
  <c r="C9" i="1" s="1"/>
  <c r="G7" i="3"/>
  <c r="G8" i="3" s="1"/>
  <c r="G9" i="3" s="1"/>
  <c r="G14" i="3" s="1"/>
  <c r="C7" i="4"/>
  <c r="C8" i="4" s="1"/>
  <c r="C9" i="4" s="1"/>
  <c r="C14" i="4" s="1"/>
  <c r="I7" i="3"/>
  <c r="I8" i="3" s="1"/>
  <c r="I9" i="3" s="1"/>
  <c r="I14" i="3" s="1"/>
  <c r="M10" i="3"/>
  <c r="M11" i="3" s="1"/>
  <c r="M13" i="3" s="1"/>
  <c r="D7" i="4"/>
  <c r="D8" i="4" s="1"/>
  <c r="D9" i="4" s="1"/>
  <c r="D14" i="4" s="1"/>
  <c r="I10" i="4"/>
  <c r="I11" i="4" s="1"/>
  <c r="I13" i="4" s="1"/>
  <c r="G10" i="3"/>
  <c r="G11" i="3" s="1"/>
  <c r="G13" i="3" s="1"/>
  <c r="D10" i="5"/>
  <c r="D11" i="5" s="1"/>
  <c r="D13" i="5" s="1"/>
  <c r="F14" i="4" l="1"/>
  <c r="L14" i="5"/>
  <c r="G14" i="4"/>
  <c r="H14" i="5"/>
  <c r="C14" i="5"/>
  <c r="E14" i="4"/>
  <c r="L14" i="4"/>
  <c r="K14" i="3"/>
  <c r="D9" i="1"/>
  <c r="H14" i="4"/>
  <c r="L14" i="3"/>
  <c r="B8" i="3"/>
  <c r="B6" i="1"/>
  <c r="B9" i="1"/>
  <c r="G14" i="5"/>
  <c r="D6" i="1"/>
  <c r="B8" i="5"/>
  <c r="C7" i="1"/>
  <c r="B9" i="4"/>
  <c r="C6" i="1"/>
  <c r="F14" i="3"/>
  <c r="F14" i="5"/>
  <c r="E14" i="3"/>
  <c r="J14" i="5"/>
  <c r="E14" i="5"/>
  <c r="B14" i="4" l="1"/>
  <c r="B15" i="4" s="1"/>
  <c r="C8" i="1"/>
  <c r="C12" i="1"/>
  <c r="B9" i="5"/>
  <c r="D7" i="1"/>
  <c r="B7" i="1"/>
  <c r="B9" i="3"/>
  <c r="B12" i="1" l="1"/>
  <c r="B8" i="1"/>
  <c r="B14" i="3"/>
  <c r="B15" i="3" s="1"/>
  <c r="B14" i="5"/>
  <c r="B15" i="5" s="1"/>
  <c r="D8" i="1"/>
  <c r="D12" i="1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C13" i="1"/>
  <c r="C5" i="1"/>
  <c r="C11" i="1" l="1"/>
  <c r="C10" i="1"/>
  <c r="C15" i="5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D5" i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B5" i="1"/>
  <c r="B13" i="1" l="1"/>
  <c r="D10" i="1"/>
  <c r="D11" i="1"/>
  <c r="D13" i="1"/>
  <c r="B11" i="1"/>
  <c r="B10" i="1"/>
</calcChain>
</file>

<file path=xl/sharedStrings.xml><?xml version="1.0" encoding="utf-8"?>
<sst xmlns="http://schemas.openxmlformats.org/spreadsheetml/2006/main" count="145" uniqueCount="78">
  <si>
    <t>Summary — เปรียบเทียบ 3 Scenario (Year 1)</t>
  </si>
  <si>
    <t>Metric</t>
  </si>
  <si>
    <t>Conservative</t>
  </si>
  <si>
    <t>Base</t>
  </si>
  <si>
    <t>Optimistic</t>
  </si>
  <si>
    <t>Pre-Launch Capital (ลงทุนแรก)</t>
  </si>
  <si>
    <t>Max Cash Drawdown (เงินติดลบสูงสุด)</t>
  </si>
  <si>
    <t>Peak Paying Users</t>
  </si>
  <si>
    <t>Year-1 Gross Revenue</t>
  </si>
  <si>
    <t>Year-1 Net Revenue (หลัง fee)</t>
  </si>
  <si>
    <t>Year-1 Operating+Mktg Cost</t>
  </si>
  <si>
    <t>Year-1 Net Profit (หลัง Pre-Launch)</t>
  </si>
  <si>
    <t>Net Margin %</t>
  </si>
  <si>
    <t>Peak Monthly Net Revenue</t>
  </si>
  <si>
    <t>Break-even (เดือนที่เงินสด &gt; 0)</t>
  </si>
  <si>
    <t>หมายเหตุ:</t>
  </si>
  <si>
    <t>• Base = สมมติฐานที่แนะนำให้ใช้วางแผนจริง (conversion 20%, organic CAC, reverse trial)</t>
  </si>
  <si>
    <t>• ปรับตัวเลขทั้งหมดได้ที่ชีต Assumptions (เซลล์สีน้ำเงิน) แล้วทุกชีตอัปเดตตาม</t>
  </si>
  <si>
    <t>• Pre-Launch Capital ลดมาก: seed bank gen ผ่าน Claude Code flat-rate (≈0) + verify มือ → เหลือแค่ infra/misc</t>
  </si>
  <si>
    <t>• ตัด free 2 เดือนทิ้ง → reverse trial เก็บเงินตั้งแต่เดือน 1 (Free Period = 0)</t>
  </si>
  <si>
    <t>• Claude Code subscription (fixed) อยู่ใน Monthly Operating Cost แล้ว ไม่ใช่ Pre-Launch</t>
  </si>
  <si>
    <t>• Max Cash Drawdown = เงินที่ต้องมีในกระเป๋าจริงก่อนถึงจุดคืนทุน</t>
  </si>
  <si>
    <t>• ตัวเลขนี้ยังไม่รวมเงินเดือน/ค่าเสียโอกาสของ solo founder</t>
  </si>
  <si>
    <t>TCAS AI Practice App — Financial Model (3 Scenarios)</t>
  </si>
  <si>
    <t>ทุกตัวเลขสีน้ำเงิน = ปรับได้ / สีดำ = สูตร / สีเขียว = ลิงก์ข้ามชีต   |   หน่วย: บาท (THB)</t>
  </si>
  <si>
    <t>Assumption</t>
  </si>
  <si>
    <t>Base (แนะนำ)</t>
  </si>
  <si>
    <t>หน่วย / หมายเหตุ</t>
  </si>
  <si>
    <t>Peak Total Users (เดือน ม.ค.)</t>
  </si>
  <si>
    <t>คน — ยอดผู้ใช้สูงสุด (พีคฤดูสอบ)</t>
  </si>
  <si>
    <t>Conversion Rate (free→paid)</t>
  </si>
  <si>
    <t>% ของ user ที่จ่ายเงิน</t>
  </si>
  <si>
    <t>ARPU (บาท/ผู้จ่าย/เดือน)</t>
  </si>
  <si>
    <t>99×0.8 + 249×0.2</t>
  </si>
  <si>
    <t>Transaction + Store Fee</t>
  </si>
  <si>
    <t>% — payment gateway + app store cut</t>
  </si>
  <si>
    <t>CAC (บาท/ผู้ใช้ใหม่)</t>
  </si>
  <si>
    <t>ต้นทุนหา user ใหม่ 1 คน — organic ช่วง launch (no paid mktg)</t>
  </si>
  <si>
    <t>Monthly Operating Cost</t>
  </si>
  <si>
    <t>บาท/เดือน — Claude Code sub (flat) + infra/hosting + gen/verify demand-driven</t>
  </si>
  <si>
    <t>Pre-Launch Capital</t>
  </si>
  <si>
    <t>บาท — infra setup + misc (seed bank gen ≈ 0 ผ่าน Claude Code + verify มือ)</t>
  </si>
  <si>
    <t>Free Period (เดือนแรกที่ไม่เก็บเงิน)</t>
  </si>
  <si>
    <t>เดือน — reverse trial (trial สั้น → เก็บเงินตั้งแต่เดือน 1)</t>
  </si>
  <si>
    <t>Pre-Launch breakdown (Base ~12k):</t>
  </si>
  <si>
    <t>Seed bank ~4k โจทย์: gen ผ่าน Claude Code (flat subscription, marginal cost ≈ 0) + verify = พี่ตรวจมือเอง (0 API)  |  เหลือแค่ infra setup + domain + misc</t>
  </si>
  <si>
    <t>Claude Code subscription (~$100-200/mo) เป็น fixed cost ที่จ่ายอยู่แล้ว ไม่ scale ตาม bank → ย้ายไปอยู่ใน Monthly Operating Cost ไม่ใช่ Pre-Launch</t>
  </si>
  <si>
    <t>Seasonal Demand Curve (% ของพีค ม.ค.)</t>
  </si>
  <si>
    <t>เดือน</t>
  </si>
  <si>
    <t>ก.ย.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</si>
  <si>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</si>
  <si>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</si>
  <si>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</si>
  <si>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</si>
  <si>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</si>
  <si>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</si>
  <si>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</si>
  <si>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</si>
  <si>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</si>
  <si>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</si>
  <si>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</si>
  <si>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% ของพีค</t>
  </si>
  <si>
    <t>Scenario: Conservative</t>
  </si>
  <si>
    <t>Season % of peak</t>
  </si>
  <si>
    <t>Total Users</t>
  </si>
  <si>
    <t>Charging? (1=เก็บเงิน)</t>
  </si>
  <si>
    <t>Paying Users</t>
  </si>
  <si>
    <t>Gross Revenue (บาท)</t>
  </si>
  <si>
    <t>Net Revenue (หลังค่าธรรมเนียม)</t>
  </si>
  <si>
    <t>New Users (acquired)</t>
  </si>
  <si>
    <t>Marketing/CAC Cost</t>
  </si>
  <si>
    <t>Operating Cost</t>
  </si>
  <si>
    <t>Total Cost</t>
  </si>
  <si>
    <t>Net Profit / เดือน</t>
  </si>
  <si>
    <t>Cumulative Cash (สะสม)</t>
  </si>
  <si>
    <t xml:space="preserve">เริ่มต้นด้วยเงินลงทุน Pre-Launch = </t>
  </si>
  <si>
    <t>Scenario: Base</t>
  </si>
  <si>
    <t>Scenario: 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</si>
</sst>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8000"/>
      <name val="Arial"/>
    </font>
    <font>
      <sz val="10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404040"/>
      </patternFill>
    </fill>
    <fill>
      <patternFill patternType="solid">
        <fgColor rgb="FFC0504D"/>
      </patternFill>
    </fill>
    <fill>
      <patternFill patternType="solid">
        <fgColor rgb="FF2E7D32"/>
      </patternFill>
    </fill>
    <fill>
      <patternFill patternType="solid"/>
    </fill>
    <fill>
      <patternFill patternType="solid">
        <fgColor rgb="FFFFF2CC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164" fontId="12" fillId="8" borderId="1" xfId="0" applyNumberFormat="1" applyFont="1" applyFill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7" fillId="9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0" fillId="5" borderId="0" xfId="0" applyFill="1"/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tabSelected="1" workbookViewId="0"/>
  </sheetViews>
  <sheetFormatPr defaultRowHeight="14.4" x14ac:dyDescent="0.3"/>
  <cols>
    <col min="1" max="1" width="34" customWidth="1"/>
    <col min="2" max="4" width="16" customWidth="1"/>
  </cols>
  <sheetData>
    <row r="1" spans="1:4" ht="17.399999999999999" x14ac:dyDescent="0.3">
      <c r="A1" s="1" t="s">
        <v>0</v>
      </c>
      <c r="B1" s="2"/>
      <c r="C1" s="2"/>
      <c r="D1" s="2"/>
    </row>
    <row r="3" spans="1:4" x14ac:dyDescent="0.3">
      <c r="A3" s="3" t="s">
        <v>1</v>
      </c>
      <c r="B3" s="4" t="s">
        <v>2</v>
      </c>
      <c r="C3" s="5" t="s">
        <v>3</v>
      </c>
      <c r="D3" s="6" t="s">
        <v>4</v>
      </c>
    </row>
    <row r="4" spans="1:4" x14ac:dyDescent="0.3">
      <c r="A4" s="7" t="s">
        <v>5</v>
      </c>
      <c r="B4" s="8">
        <f>Assumptions!B11</f>
        <v>25000</v>
      </c>
      <c r="C4" s="8">
        <f>Assumptions!C11</f>
        <v>12000</v>
      </c>
      <c r="D4" s="8">
        <f>Assumptions!D11</f>
        <v>6000</v>
      </c>
    </row>
    <row r="5" spans="1:4" x14ac:dyDescent="0.3">
      <c r="A5" s="7" t="s">
        <v>6</v>
      </c>
      <c r="B5" s="8">
        <f>MIN(Conservative!B15:M15)</f>
        <v>-79325.22</v>
      </c>
      <c r="C5" s="8">
        <f>MIN(Base!B15:M15)</f>
        <v>-18194.12</v>
      </c>
      <c r="D5" s="8">
        <f>MIN(Optimistic!B15:M15)</f>
        <v>-1221.9600000000009</v>
      </c>
    </row>
    <row r="6" spans="1:4" x14ac:dyDescent="0.3">
      <c r="A6" s="7" t="s">
        <v>7</v>
      </c>
      <c r="B6" s="8">
        <f>MAX(Conservative!B7:M7)</f>
        <v>144</v>
      </c>
      <c r="C6" s="8">
        <f>MAX(Base!B7:M7)</f>
        <v>400</v>
      </c>
      <c r="D6" s="8">
        <f>MAX(Optimistic!B7:M7)</f>
        <v>1050</v>
      </c>
    </row>
    <row r="7" spans="1:4" x14ac:dyDescent="0.3">
      <c r="A7" s="7" t="s">
        <v>8</v>
      </c>
      <c r="B7" s="8">
        <f>SUM(Conservative!B8:M8)</f>
        <v>135579</v>
      </c>
      <c r="C7" s="8">
        <f>SUM(Base!B8:M8)</f>
        <v>376164</v>
      </c>
      <c r="D7" s="8">
        <f>SUM(Optimistic!B8:M8)</f>
        <v>987753</v>
      </c>
    </row>
    <row r="8" spans="1:4" x14ac:dyDescent="0.3">
      <c r="A8" s="7" t="s">
        <v>9</v>
      </c>
      <c r="B8" s="8">
        <f>SUM(Conservative!B9:M9)</f>
        <v>111174.78</v>
      </c>
      <c r="C8" s="8">
        <f>SUM(Base!B9:M9)</f>
        <v>346070.88</v>
      </c>
      <c r="D8" s="8">
        <f>SUM(Optimistic!B9:M9)</f>
        <v>958120.41</v>
      </c>
    </row>
    <row r="9" spans="1:4" x14ac:dyDescent="0.3">
      <c r="A9" s="7" t="s">
        <v>10</v>
      </c>
      <c r="B9" s="8">
        <f>SUM(Conservative!B13:M13)</f>
        <v>165500</v>
      </c>
      <c r="C9" s="8">
        <f>SUM(Base!B13:M13)</f>
        <v>135920</v>
      </c>
      <c r="D9" s="8">
        <f>SUM(Optimistic!B13:M13)</f>
        <v>106752</v>
      </c>
    </row>
    <row r="10" spans="1:4" x14ac:dyDescent="0.3">
      <c r="A10" s="9" t="s">
        <v>11</v>
      </c>
      <c r="B10" s="10">
        <f>Conservative!M15</f>
        <v>-79325.22</v>
      </c>
      <c r="C10" s="10">
        <f>Base!M15</f>
        <v>198150.88</v>
      </c>
      <c r="D10" s="10">
        <f>Optimistic!M15</f>
        <v>845368.41</v>
      </c>
    </row>
    <row r="11" spans="1:4" x14ac:dyDescent="0.3">
      <c r="A11" s="9" t="s">
        <v>12</v>
      </c>
      <c r="B11" s="11">
        <f>IFERROR(Conservative!M15/SUM(Conservative!B8:M8),0)</f>
        <v>-0.58508485827451151</v>
      </c>
      <c r="C11" s="11">
        <f>IFERROR(Base!M15/SUM(Base!B8:M8),0)</f>
        <v>0.52676726108824878</v>
      </c>
      <c r="D11" s="11">
        <f>IFERROR(Optimistic!M15/SUM(Optimistic!B8:M8),0)</f>
        <v>0.85585000501137432</v>
      </c>
    </row>
    <row r="12" spans="1:4" x14ac:dyDescent="0.3">
      <c r="A12" s="7" t="s">
        <v>13</v>
      </c>
      <c r="B12" s="8">
        <f>MAX(Conservative!B9:M9)</f>
        <v>15232.320000000002</v>
      </c>
      <c r="C12" s="8">
        <f>MAX(Base!B9:M9)</f>
        <v>47472</v>
      </c>
      <c r="D12" s="8">
        <f>MAX(Optimistic!B9:M9)</f>
        <v>131386.5</v>
      </c>
    </row>
    <row r="13" spans="1:4" x14ac:dyDescent="0.3">
      <c r="A13" s="7" t="s">
        <v>14</v>
      </c>
      <c r="B13" s="12" t="str">
        <f>IFERROR(INDEX(Conservative!$B$3:$M$3,MATCH(1,INDEX(--(Conservative!$B$15:$M$15&gt;0),0),0)),"ไม่คืนทุนในปี1")</f>
        <v>ไม่คืนทุนในปี1</v>
      </c>
      <c r="C13" s="12" t="str">
        <f>IFERROR(INDEX(Base!$B$3:$M$3,MATCH(1,INDEX(--(Base!$B$15:$M$15&gt;0),0),0)),"ไม่คืนทุนในปี1")</f>
        <v>ธ.ค.</v>
      </c>
      <c r="D13" s="12" t="str">
        <f>IFERROR(INDEX(Optimistic!$B$3:$M$3,MATCH(1,INDEX(--(Optimistic!$B$15:$M$15&gt;0),0),0)),"ไม่คืนทุนในปี1")</f>
        <v>ต.ค.</v>
      </c>
    </row>
    <row r="16" spans="1:4" x14ac:dyDescent="0.3">
      <c r="A16" s="13" t="s">
        <v>15</v>
      </c>
    </row>
    <row r="17" spans="1:1" x14ac:dyDescent="0.3">
      <c r="A17" s="14" t="s">
        <v>16</v>
      </c>
    </row>
    <row r="18" spans="1:1" x14ac:dyDescent="0.3">
      <c r="A18" s="14" t="s">
        <v>17</v>
      </c>
    </row>
    <row r="19" spans="1:1" x14ac:dyDescent="0.3">
      <c r="A19" s="14" t="s">
        <v>18</v>
      </c>
    </row>
    <row r="20" spans="1:1" x14ac:dyDescent="0.3">
      <c r="A20" s="14" t="s">
        <v>19</v>
      </c>
    </row>
    <row r="21" spans="1:1" x14ac:dyDescent="0.3">
      <c r="A21" s="14" t="s">
        <v>20</v>
      </c>
    </row>
    <row r="22" spans="1:1" x14ac:dyDescent="0.3">
      <c r="A22" s="14" t="s">
        <v>21</v>
      </c>
    </row>
    <row r="23" spans="1:1" x14ac:dyDescent="0.3">
      <c r="A23" s="1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workbookViewId="0"/>
  </sheetViews>
  <sheetFormatPr defaultRowHeight="14.4" x14ac:dyDescent="0.3"/>
  <cols>
    <col min="1" max="1" width="34" customWidth="1"/>
    <col min="2" max="4" width="14" customWidth="1"/>
    <col min="5" max="5" width="42" customWidth="1"/>
    <col min="6" max="13" width="8" customWidth="1"/>
  </cols>
  <sheetData>
    <row r="1" spans="1:6" ht="17.399999999999999" x14ac:dyDescent="0.3">
      <c r="A1" s="1" t="s">
        <v>23</v>
      </c>
      <c r="B1" s="2"/>
      <c r="C1" s="2"/>
      <c r="D1" s="2"/>
      <c r="E1" s="2"/>
      <c r="F1" s="2"/>
    </row>
    <row r="2" spans="1:6" x14ac:dyDescent="0.3">
      <c r="A2" s="14" t="s">
        <v>24</v>
      </c>
    </row>
    <row r="4" spans="1:6" x14ac:dyDescent="0.3">
      <c r="A4" s="3" t="s">
        <v>25</v>
      </c>
      <c r="B4" s="4" t="s">
        <v>2</v>
      </c>
      <c r="C4" s="5" t="s">
        <v>26</v>
      </c>
      <c r="D4" s="6" t="s">
        <v>4</v>
      </c>
      <c r="E4" s="15" t="s">
        <v>27</v>
      </c>
    </row>
    <row r="5" spans="1:6" x14ac:dyDescent="0.3">
      <c r="A5" s="7" t="s">
        <v>28</v>
      </c>
      <c r="B5" s="16">
        <v>1200</v>
      </c>
      <c r="C5" s="17">
        <v>2000</v>
      </c>
      <c r="D5" s="16">
        <v>3000</v>
      </c>
      <c r="E5" s="14" t="s">
        <v>29</v>
      </c>
    </row>
    <row r="6" spans="1:6" x14ac:dyDescent="0.3">
      <c r="A6" s="7" t="s">
        <v>30</v>
      </c>
      <c r="B6" s="18">
        <v>0.12</v>
      </c>
      <c r="C6" s="19">
        <v>0.2</v>
      </c>
      <c r="D6" s="18">
        <v>0.35</v>
      </c>
      <c r="E6" s="14" t="s">
        <v>31</v>
      </c>
    </row>
    <row r="7" spans="1:6" x14ac:dyDescent="0.3">
      <c r="A7" s="7" t="s">
        <v>32</v>
      </c>
      <c r="B7" s="16">
        <v>129</v>
      </c>
      <c r="C7" s="17">
        <v>129</v>
      </c>
      <c r="D7" s="16">
        <v>129</v>
      </c>
      <c r="E7" s="14" t="s">
        <v>33</v>
      </c>
    </row>
    <row r="8" spans="1:6" x14ac:dyDescent="0.3">
      <c r="A8" s="7" t="s">
        <v>34</v>
      </c>
      <c r="B8" s="18">
        <v>0.18</v>
      </c>
      <c r="C8" s="19">
        <v>0.08</v>
      </c>
      <c r="D8" s="18">
        <v>0.03</v>
      </c>
      <c r="E8" s="14" t="s">
        <v>35</v>
      </c>
    </row>
    <row r="9" spans="1:6" x14ac:dyDescent="0.3">
      <c r="A9" s="7" t="s">
        <v>36</v>
      </c>
      <c r="B9" s="16">
        <v>20</v>
      </c>
      <c r="C9" s="17">
        <v>10</v>
      </c>
      <c r="D9" s="16">
        <v>4</v>
      </c>
      <c r="E9" s="14" t="s">
        <v>37</v>
      </c>
    </row>
    <row r="10" spans="1:6" x14ac:dyDescent="0.3">
      <c r="A10" s="7" t="s">
        <v>38</v>
      </c>
      <c r="B10" s="16">
        <v>11000</v>
      </c>
      <c r="C10" s="17">
        <v>9000</v>
      </c>
      <c r="D10" s="16">
        <v>7500</v>
      </c>
      <c r="E10" s="14" t="s">
        <v>39</v>
      </c>
    </row>
    <row r="11" spans="1:6" x14ac:dyDescent="0.3">
      <c r="A11" s="7" t="s">
        <v>40</v>
      </c>
      <c r="B11" s="16">
        <v>25000</v>
      </c>
      <c r="C11" s="17">
        <v>12000</v>
      </c>
      <c r="D11" s="16">
        <v>6000</v>
      </c>
      <c r="E11" s="14" t="s">
        <v>41</v>
      </c>
    </row>
    <row r="12" spans="1:6" x14ac:dyDescent="0.3">
      <c r="A12" s="7" t="s">
        <v>42</v>
      </c>
      <c r="B12" s="16">
        <v>0</v>
      </c>
      <c r="C12" s="17">
        <v>0</v>
      </c>
      <c r="D12" s="16">
        <v>0</v>
      </c>
      <c r="E12" s="14" t="s">
        <v>43</v>
      </c>
    </row>
    <row r="14" spans="1:6" x14ac:dyDescent="0.3">
      <c r="A14" s="13" t="s">
        <v>44</v>
      </c>
    </row>
    <row r="15" spans="1:6" x14ac:dyDescent="0.3">
      <c r="A15" s="14" t="s">
        <v>45</v>
      </c>
    </row>
    <row r="16" spans="1:6" x14ac:dyDescent="0.3">
      <c r="A16" s="14" t="s">
        <v>46</v>
      </c>
    </row>
    <row r="19" spans="1:13" x14ac:dyDescent="0.3">
      <c r="A19" s="3" t="s">
        <v>47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3">
      <c r="A20" s="21" t="s">
        <v>48</v>
      </c>
      <c r="B20" s="22" t="s">
        <v>49</v>
      </c>
      <c r="C20" s="22" t="s">
        <v>50</v>
      </c>
      <c r="D20" s="22" t="s">
        <v>51</v>
      </c>
      <c r="E20" s="22" t="s">
        <v>52</v>
      </c>
      <c r="F20" s="22" t="s">
        <v>53</v>
      </c>
      <c r="G20" s="22" t="s">
        <v>54</v>
      </c>
      <c r="H20" s="22" t="s">
        <v>55</v>
      </c>
      <c r="I20" s="22" t="s">
        <v>56</v>
      </c>
      <c r="J20" s="22" t="s">
        <v>57</v>
      </c>
      <c r="K20" s="22" t="s">
        <v>58</v>
      </c>
      <c r="L20" s="22" t="s">
        <v>59</v>
      </c>
      <c r="M20" s="22" t="s">
        <v>60</v>
      </c>
    </row>
    <row r="21" spans="1:13" x14ac:dyDescent="0.3">
      <c r="A21" s="23" t="s">
        <v>61</v>
      </c>
      <c r="B21" s="24">
        <v>0.10299999999999999</v>
      </c>
      <c r="C21" s="24">
        <v>0.27600000000000002</v>
      </c>
      <c r="D21" s="24">
        <v>0.48299999999999998</v>
      </c>
      <c r="E21" s="24">
        <v>0.72399999999999998</v>
      </c>
      <c r="F21" s="24">
        <v>1</v>
      </c>
      <c r="G21" s="24">
        <v>0.82799999999999996</v>
      </c>
      <c r="H21" s="24">
        <v>0.58599999999999997</v>
      </c>
      <c r="I21" s="24">
        <v>0.48299999999999998</v>
      </c>
      <c r="J21" s="24">
        <v>0.55200000000000005</v>
      </c>
      <c r="K21" s="24">
        <v>0.63800000000000001</v>
      </c>
      <c r="L21" s="24">
        <v>0.74099999999999999</v>
      </c>
      <c r="M21" s="24">
        <v>0.879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showGridLines="0" workbookViewId="0"/>
  </sheetViews>
  <sheetFormatPr defaultRowHeight="14.4" x14ac:dyDescent="0.3"/>
  <cols>
    <col min="1" max="1" width="26" customWidth="1"/>
    <col min="2" max="13" width="11" customWidth="1"/>
  </cols>
  <sheetData>
    <row r="1" spans="1:13" ht="16.8" x14ac:dyDescent="0.3">
      <c r="A1" s="25" t="s">
        <v>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1:13" x14ac:dyDescent="0.3">
      <c r="A3" s="27" t="s">
        <v>48</v>
      </c>
      <c r="B3" s="28" t="s">
        <v>49</v>
      </c>
      <c r="C3" s="28" t="s">
        <v>50</v>
      </c>
      <c r="D3" s="28" t="s">
        <v>51</v>
      </c>
      <c r="E3" s="28" t="s">
        <v>52</v>
      </c>
      <c r="F3" s="28" t="s">
        <v>53</v>
      </c>
      <c r="G3" s="28" t="s">
        <v>54</v>
      </c>
      <c r="H3" s="28" t="s">
        <v>55</v>
      </c>
      <c r="I3" s="28" t="s">
        <v>56</v>
      </c>
      <c r="J3" s="28" t="s">
        <v>57</v>
      </c>
      <c r="K3" s="28" t="s">
        <v>58</v>
      </c>
      <c r="L3" s="28" t="s">
        <v>59</v>
      </c>
      <c r="M3" s="28" t="s">
        <v>60</v>
      </c>
    </row>
    <row r="4" spans="1:13" x14ac:dyDescent="0.3">
      <c r="A4" s="7" t="s">
        <v>63</v>
      </c>
      <c r="B4" s="29">
        <f>Assumptions!B$21</f>
        <v>0.10299999999999999</v>
      </c>
      <c r="C4" s="29">
        <f>Assumptions!C$21</f>
        <v>0.27600000000000002</v>
      </c>
      <c r="D4" s="29">
        <f>Assumptions!D$21</f>
        <v>0.48299999999999998</v>
      </c>
      <c r="E4" s="29">
        <f>Assumptions!E$21</f>
        <v>0.72399999999999998</v>
      </c>
      <c r="F4" s="29">
        <f>Assumptions!F$21</f>
        <v>1</v>
      </c>
      <c r="G4" s="29">
        <f>Assumptions!G$21</f>
        <v>0.82799999999999996</v>
      </c>
      <c r="H4" s="29">
        <f>Assumptions!H$21</f>
        <v>0.58599999999999997</v>
      </c>
      <c r="I4" s="29">
        <f>Assumptions!I$21</f>
        <v>0.48299999999999998</v>
      </c>
      <c r="J4" s="29">
        <f>Assumptions!J$21</f>
        <v>0.55200000000000005</v>
      </c>
      <c r="K4" s="29">
        <f>Assumptions!K$21</f>
        <v>0.63800000000000001</v>
      </c>
      <c r="L4" s="29">
        <f>Assumptions!L$21</f>
        <v>0.74099999999999999</v>
      </c>
      <c r="M4" s="29">
        <f>Assumptions!M$21</f>
        <v>0.879</v>
      </c>
    </row>
    <row r="5" spans="1:13" x14ac:dyDescent="0.3">
      <c r="A5" s="30" t="s">
        <v>64</v>
      </c>
      <c r="B5" s="31">
        <f>ROUND(Assumptions!$B$5*B4,0)</f>
        <v>124</v>
      </c>
      <c r="C5" s="31">
        <f>ROUND(Assumptions!$B$5*C4,0)</f>
        <v>331</v>
      </c>
      <c r="D5" s="31">
        <f>ROUND(Assumptions!$B$5*D4,0)</f>
        <v>580</v>
      </c>
      <c r="E5" s="31">
        <f>ROUND(Assumptions!$B$5*E4,0)</f>
        <v>869</v>
      </c>
      <c r="F5" s="31">
        <f>ROUND(Assumptions!$B$5*F4,0)</f>
        <v>1200</v>
      </c>
      <c r="G5" s="31">
        <f>ROUND(Assumptions!$B$5*G4,0)</f>
        <v>994</v>
      </c>
      <c r="H5" s="31">
        <f>ROUND(Assumptions!$B$5*H4,0)</f>
        <v>703</v>
      </c>
      <c r="I5" s="31">
        <f>ROUND(Assumptions!$B$5*I4,0)</f>
        <v>580</v>
      </c>
      <c r="J5" s="31">
        <f>ROUND(Assumptions!$B$5*J4,0)</f>
        <v>662</v>
      </c>
      <c r="K5" s="31">
        <f>ROUND(Assumptions!$B$5*K4,0)</f>
        <v>766</v>
      </c>
      <c r="L5" s="31">
        <f>ROUND(Assumptions!$B$5*L4,0)</f>
        <v>889</v>
      </c>
      <c r="M5" s="31">
        <f>ROUND(Assumptions!$B$5*M4,0)</f>
        <v>1055</v>
      </c>
    </row>
    <row r="6" spans="1:13" x14ac:dyDescent="0.3">
      <c r="A6" s="7" t="s">
        <v>65</v>
      </c>
      <c r="B6" s="32">
        <f>IF(COLUMN()-1&gt;Assumptions!$B$12,1,0)</f>
        <v>1</v>
      </c>
      <c r="C6" s="32">
        <f>IF(COLUMN()-1&gt;Assumptions!$B$12,1,0)</f>
        <v>1</v>
      </c>
      <c r="D6" s="32">
        <f>IF(COLUMN()-1&gt;Assumptions!$B$12,1,0)</f>
        <v>1</v>
      </c>
      <c r="E6" s="32">
        <f>IF(COLUMN()-1&gt;Assumptions!$B$12,1,0)</f>
        <v>1</v>
      </c>
      <c r="F6" s="32">
        <f>IF(COLUMN()-1&gt;Assumptions!$B$12,1,0)</f>
        <v>1</v>
      </c>
      <c r="G6" s="32">
        <f>IF(COLUMN()-1&gt;Assumptions!$B$12,1,0)</f>
        <v>1</v>
      </c>
      <c r="H6" s="32">
        <f>IF(COLUMN()-1&gt;Assumptions!$B$12,1,0)</f>
        <v>1</v>
      </c>
      <c r="I6" s="32">
        <f>IF(COLUMN()-1&gt;Assumptions!$B$12,1,0)</f>
        <v>1</v>
      </c>
      <c r="J6" s="32">
        <f>IF(COLUMN()-1&gt;Assumptions!$B$12,1,0)</f>
        <v>1</v>
      </c>
      <c r="K6" s="32">
        <f>IF(COLUMN()-1&gt;Assumptions!$B$12,1,0)</f>
        <v>1</v>
      </c>
      <c r="L6" s="32">
        <f>IF(COLUMN()-1&gt;Assumptions!$B$12,1,0)</f>
        <v>1</v>
      </c>
      <c r="M6" s="32">
        <f>IF(COLUMN()-1&gt;Assumptions!$B$12,1,0)</f>
        <v>1</v>
      </c>
    </row>
    <row r="7" spans="1:13" x14ac:dyDescent="0.3">
      <c r="A7" s="30" t="s">
        <v>66</v>
      </c>
      <c r="B7" s="31">
        <f>ROUND(B5*Assumptions!$B$6*B6,0)</f>
        <v>15</v>
      </c>
      <c r="C7" s="31">
        <f>ROUND(C5*Assumptions!$B$6*C6,0)</f>
        <v>40</v>
      </c>
      <c r="D7" s="31">
        <f>ROUND(D5*Assumptions!$B$6*D6,0)</f>
        <v>70</v>
      </c>
      <c r="E7" s="31">
        <f>ROUND(E5*Assumptions!$B$6*E6,0)</f>
        <v>104</v>
      </c>
      <c r="F7" s="31">
        <f>ROUND(F5*Assumptions!$B$6*F6,0)</f>
        <v>144</v>
      </c>
      <c r="G7" s="31">
        <f>ROUND(G5*Assumptions!$B$6*G6,0)</f>
        <v>119</v>
      </c>
      <c r="H7" s="31">
        <f>ROUND(H5*Assumptions!$B$6*H6,0)</f>
        <v>84</v>
      </c>
      <c r="I7" s="31">
        <f>ROUND(I5*Assumptions!$B$6*I6,0)</f>
        <v>70</v>
      </c>
      <c r="J7" s="31">
        <f>ROUND(J5*Assumptions!$B$6*J6,0)</f>
        <v>79</v>
      </c>
      <c r="K7" s="31">
        <f>ROUND(K5*Assumptions!$B$6*K6,0)</f>
        <v>92</v>
      </c>
      <c r="L7" s="31">
        <f>ROUND(L5*Assumptions!$B$6*L6,0)</f>
        <v>107</v>
      </c>
      <c r="M7" s="31">
        <f>ROUND(M5*Assumptions!$B$6*M6,0)</f>
        <v>127</v>
      </c>
    </row>
    <row r="8" spans="1:13" x14ac:dyDescent="0.3">
      <c r="A8" s="33" t="s">
        <v>67</v>
      </c>
      <c r="B8" s="34">
        <f>B7*Assumptions!$B$7</f>
        <v>1935</v>
      </c>
      <c r="C8" s="34">
        <f>C7*Assumptions!$B$7</f>
        <v>5160</v>
      </c>
      <c r="D8" s="34">
        <f>D7*Assumptions!$B$7</f>
        <v>9030</v>
      </c>
      <c r="E8" s="34">
        <f>E7*Assumptions!$B$7</f>
        <v>13416</v>
      </c>
      <c r="F8" s="34">
        <f>F7*Assumptions!$B$7</f>
        <v>18576</v>
      </c>
      <c r="G8" s="34">
        <f>G7*Assumptions!$B$7</f>
        <v>15351</v>
      </c>
      <c r="H8" s="34">
        <f>H7*Assumptions!$B$7</f>
        <v>10836</v>
      </c>
      <c r="I8" s="34">
        <f>I7*Assumptions!$B$7</f>
        <v>9030</v>
      </c>
      <c r="J8" s="34">
        <f>J7*Assumptions!$B$7</f>
        <v>10191</v>
      </c>
      <c r="K8" s="34">
        <f>K7*Assumptions!$B$7</f>
        <v>11868</v>
      </c>
      <c r="L8" s="34">
        <f>L7*Assumptions!$B$7</f>
        <v>13803</v>
      </c>
      <c r="M8" s="34">
        <f>M7*Assumptions!$B$7</f>
        <v>16383</v>
      </c>
    </row>
    <row r="9" spans="1:13" x14ac:dyDescent="0.3">
      <c r="A9" s="35" t="s">
        <v>68</v>
      </c>
      <c r="B9" s="36">
        <f>B8*(1-Assumptions!$B$8)</f>
        <v>1586.7</v>
      </c>
      <c r="C9" s="36">
        <f>C8*(1-Assumptions!$B$8)</f>
        <v>4231.2000000000007</v>
      </c>
      <c r="D9" s="36">
        <f>D8*(1-Assumptions!$B$8)</f>
        <v>7404.6</v>
      </c>
      <c r="E9" s="36">
        <f>E8*(1-Assumptions!$B$8)</f>
        <v>11001.12</v>
      </c>
      <c r="F9" s="36">
        <f>F8*(1-Assumptions!$B$8)</f>
        <v>15232.320000000002</v>
      </c>
      <c r="G9" s="36">
        <f>G8*(1-Assumptions!$B$8)</f>
        <v>12587.820000000002</v>
      </c>
      <c r="H9" s="36">
        <f>H8*(1-Assumptions!$B$8)</f>
        <v>8885.52</v>
      </c>
      <c r="I9" s="36">
        <f>I8*(1-Assumptions!$B$8)</f>
        <v>7404.6</v>
      </c>
      <c r="J9" s="36">
        <f>J8*(1-Assumptions!$B$8)</f>
        <v>8356.6200000000008</v>
      </c>
      <c r="K9" s="36">
        <f>K8*(1-Assumptions!$B$8)</f>
        <v>9731.76</v>
      </c>
      <c r="L9" s="36">
        <f>L8*(1-Assumptions!$B$8)</f>
        <v>11318.460000000001</v>
      </c>
      <c r="M9" s="36">
        <f>M8*(1-Assumptions!$B$8)</f>
        <v>13434.060000000001</v>
      </c>
    </row>
    <row r="10" spans="1:13" x14ac:dyDescent="0.3">
      <c r="A10" s="7" t="s">
        <v>69</v>
      </c>
      <c r="B10" s="37">
        <f>B5</f>
        <v>124</v>
      </c>
      <c r="C10" s="37">
        <f t="shared" ref="C10:M10" si="0">MAX(0,C5-B5)</f>
        <v>207</v>
      </c>
      <c r="D10" s="37">
        <f t="shared" si="0"/>
        <v>249</v>
      </c>
      <c r="E10" s="37">
        <f t="shared" si="0"/>
        <v>289</v>
      </c>
      <c r="F10" s="37">
        <f t="shared" si="0"/>
        <v>331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82</v>
      </c>
      <c r="K10" s="37">
        <f t="shared" si="0"/>
        <v>104</v>
      </c>
      <c r="L10" s="37">
        <f t="shared" si="0"/>
        <v>123</v>
      </c>
      <c r="M10" s="37">
        <f t="shared" si="0"/>
        <v>166</v>
      </c>
    </row>
    <row r="11" spans="1:13" x14ac:dyDescent="0.3">
      <c r="A11" s="7" t="s">
        <v>70</v>
      </c>
      <c r="B11" s="8">
        <f>B10*Assumptions!$B$9</f>
        <v>2480</v>
      </c>
      <c r="C11" s="8">
        <f>C10*Assumptions!$B$9</f>
        <v>4140</v>
      </c>
      <c r="D11" s="8">
        <f>D10*Assumptions!$B$9</f>
        <v>4980</v>
      </c>
      <c r="E11" s="8">
        <f>E10*Assumptions!$B$9</f>
        <v>5780</v>
      </c>
      <c r="F11" s="8">
        <f>F10*Assumptions!$B$9</f>
        <v>6620</v>
      </c>
      <c r="G11" s="8">
        <f>G10*Assumptions!$B$9</f>
        <v>0</v>
      </c>
      <c r="H11" s="8">
        <f>H10*Assumptions!$B$9</f>
        <v>0</v>
      </c>
      <c r="I11" s="8">
        <f>I10*Assumptions!$B$9</f>
        <v>0</v>
      </c>
      <c r="J11" s="8">
        <f>J10*Assumptions!$B$9</f>
        <v>1640</v>
      </c>
      <c r="K11" s="8">
        <f>K10*Assumptions!$B$9</f>
        <v>2080</v>
      </c>
      <c r="L11" s="8">
        <f>L10*Assumptions!$B$9</f>
        <v>2460</v>
      </c>
      <c r="M11" s="8">
        <f>M10*Assumptions!$B$9</f>
        <v>3320</v>
      </c>
    </row>
    <row r="12" spans="1:13" x14ac:dyDescent="0.3">
      <c r="A12" s="7" t="s">
        <v>71</v>
      </c>
      <c r="B12" s="38">
        <f>Assumptions!$B$10</f>
        <v>11000</v>
      </c>
      <c r="C12" s="38">
        <f>Assumptions!$B$10</f>
        <v>11000</v>
      </c>
      <c r="D12" s="38">
        <f>Assumptions!$B$10</f>
        <v>11000</v>
      </c>
      <c r="E12" s="38">
        <f>Assumptions!$B$10</f>
        <v>11000</v>
      </c>
      <c r="F12" s="38">
        <f>Assumptions!$B$10</f>
        <v>11000</v>
      </c>
      <c r="G12" s="38">
        <f>Assumptions!$B$10</f>
        <v>11000</v>
      </c>
      <c r="H12" s="38">
        <f>Assumptions!$B$10</f>
        <v>11000</v>
      </c>
      <c r="I12" s="38">
        <f>Assumptions!$B$10</f>
        <v>11000</v>
      </c>
      <c r="J12" s="38">
        <f>Assumptions!$B$10</f>
        <v>11000</v>
      </c>
      <c r="K12" s="38">
        <f>Assumptions!$B$10</f>
        <v>11000</v>
      </c>
      <c r="L12" s="38">
        <f>Assumptions!$B$10</f>
        <v>11000</v>
      </c>
      <c r="M12" s="38">
        <f>Assumptions!$B$10</f>
        <v>11000</v>
      </c>
    </row>
    <row r="13" spans="1:13" x14ac:dyDescent="0.3">
      <c r="A13" s="7" t="s">
        <v>72</v>
      </c>
      <c r="B13" s="8">
        <f t="shared" ref="B13:M13" si="1">B11+B12</f>
        <v>13480</v>
      </c>
      <c r="C13" s="8">
        <f t="shared" si="1"/>
        <v>15140</v>
      </c>
      <c r="D13" s="8">
        <f t="shared" si="1"/>
        <v>15980</v>
      </c>
      <c r="E13" s="8">
        <f t="shared" si="1"/>
        <v>16780</v>
      </c>
      <c r="F13" s="8">
        <f t="shared" si="1"/>
        <v>17620</v>
      </c>
      <c r="G13" s="8">
        <f t="shared" si="1"/>
        <v>11000</v>
      </c>
      <c r="H13" s="8">
        <f t="shared" si="1"/>
        <v>11000</v>
      </c>
      <c r="I13" s="8">
        <f t="shared" si="1"/>
        <v>11000</v>
      </c>
      <c r="J13" s="8">
        <f t="shared" si="1"/>
        <v>12640</v>
      </c>
      <c r="K13" s="8">
        <f t="shared" si="1"/>
        <v>13080</v>
      </c>
      <c r="L13" s="8">
        <f t="shared" si="1"/>
        <v>13460</v>
      </c>
      <c r="M13" s="8">
        <f t="shared" si="1"/>
        <v>14320</v>
      </c>
    </row>
    <row r="14" spans="1:13" x14ac:dyDescent="0.3">
      <c r="A14" s="9" t="s">
        <v>73</v>
      </c>
      <c r="B14" s="10">
        <f t="shared" ref="B14:M14" si="2">B9-B13</f>
        <v>-11893.3</v>
      </c>
      <c r="C14" s="10">
        <f t="shared" si="2"/>
        <v>-10908.8</v>
      </c>
      <c r="D14" s="10">
        <f t="shared" si="2"/>
        <v>-8575.4</v>
      </c>
      <c r="E14" s="10">
        <f t="shared" si="2"/>
        <v>-5778.8799999999992</v>
      </c>
      <c r="F14" s="10">
        <f t="shared" si="2"/>
        <v>-2387.6799999999985</v>
      </c>
      <c r="G14" s="10">
        <f t="shared" si="2"/>
        <v>1587.8200000000015</v>
      </c>
      <c r="H14" s="10">
        <f t="shared" si="2"/>
        <v>-2114.4799999999996</v>
      </c>
      <c r="I14" s="10">
        <f t="shared" si="2"/>
        <v>-3595.3999999999996</v>
      </c>
      <c r="J14" s="10">
        <f t="shared" si="2"/>
        <v>-4283.3799999999992</v>
      </c>
      <c r="K14" s="10">
        <f t="shared" si="2"/>
        <v>-3348.24</v>
      </c>
      <c r="L14" s="10">
        <f t="shared" si="2"/>
        <v>-2141.5399999999991</v>
      </c>
      <c r="M14" s="10">
        <f t="shared" si="2"/>
        <v>-885.93999999999869</v>
      </c>
    </row>
    <row r="15" spans="1:13" x14ac:dyDescent="0.3">
      <c r="A15" s="9" t="s">
        <v>74</v>
      </c>
      <c r="B15" s="10">
        <f>-Assumptions!$B$11+B14</f>
        <v>-36893.300000000003</v>
      </c>
      <c r="C15" s="10">
        <f t="shared" ref="C15:M15" si="3">B15+C14</f>
        <v>-47802.100000000006</v>
      </c>
      <c r="D15" s="10">
        <f t="shared" si="3"/>
        <v>-56377.500000000007</v>
      </c>
      <c r="E15" s="10">
        <f t="shared" si="3"/>
        <v>-62156.380000000005</v>
      </c>
      <c r="F15" s="10">
        <f t="shared" si="3"/>
        <v>-64544.060000000005</v>
      </c>
      <c r="G15" s="10">
        <f t="shared" si="3"/>
        <v>-62956.240000000005</v>
      </c>
      <c r="H15" s="10">
        <f t="shared" si="3"/>
        <v>-65070.720000000001</v>
      </c>
      <c r="I15" s="10">
        <f t="shared" si="3"/>
        <v>-68666.12</v>
      </c>
      <c r="J15" s="10">
        <f t="shared" si="3"/>
        <v>-72949.5</v>
      </c>
      <c r="K15" s="10">
        <f t="shared" si="3"/>
        <v>-76297.740000000005</v>
      </c>
      <c r="L15" s="10">
        <f t="shared" si="3"/>
        <v>-78439.28</v>
      </c>
      <c r="M15" s="10">
        <f t="shared" si="3"/>
        <v>-79325.22</v>
      </c>
    </row>
    <row r="17" spans="1:2" x14ac:dyDescent="0.3">
      <c r="A17" s="14" t="s">
        <v>75</v>
      </c>
      <c r="B17" s="39">
        <f>-Assumptions!$B$11</f>
        <v>-25000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showGridLines="0" workbookViewId="0"/>
  </sheetViews>
  <sheetFormatPr defaultRowHeight="14.4" x14ac:dyDescent="0.3"/>
  <cols>
    <col min="1" max="1" width="26" customWidth="1"/>
    <col min="2" max="13" width="11" customWidth="1"/>
  </cols>
  <sheetData>
    <row r="1" spans="1:13" ht="16.8" x14ac:dyDescent="0.3">
      <c r="A1" s="40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3">
      <c r="A3" s="27" t="s">
        <v>48</v>
      </c>
      <c r="B3" s="28" t="s">
        <v>49</v>
      </c>
      <c r="C3" s="28" t="s">
        <v>50</v>
      </c>
      <c r="D3" s="28" t="s">
        <v>51</v>
      </c>
      <c r="E3" s="28" t="s">
        <v>52</v>
      </c>
      <c r="F3" s="28" t="s">
        <v>53</v>
      </c>
      <c r="G3" s="28" t="s">
        <v>54</v>
      </c>
      <c r="H3" s="28" t="s">
        <v>55</v>
      </c>
      <c r="I3" s="28" t="s">
        <v>56</v>
      </c>
      <c r="J3" s="28" t="s">
        <v>57</v>
      </c>
      <c r="K3" s="28" t="s">
        <v>58</v>
      </c>
      <c r="L3" s="28" t="s">
        <v>59</v>
      </c>
      <c r="M3" s="28" t="s">
        <v>60</v>
      </c>
    </row>
    <row r="4" spans="1:13" x14ac:dyDescent="0.3">
      <c r="A4" s="7" t="s">
        <v>63</v>
      </c>
      <c r="B4" s="29">
        <f>Assumptions!B$21</f>
        <v>0.10299999999999999</v>
      </c>
      <c r="C4" s="29">
        <f>Assumptions!C$21</f>
        <v>0.27600000000000002</v>
      </c>
      <c r="D4" s="29">
        <f>Assumptions!D$21</f>
        <v>0.48299999999999998</v>
      </c>
      <c r="E4" s="29">
        <f>Assumptions!E$21</f>
        <v>0.72399999999999998</v>
      </c>
      <c r="F4" s="29">
        <f>Assumptions!F$21</f>
        <v>1</v>
      </c>
      <c r="G4" s="29">
        <f>Assumptions!G$21</f>
        <v>0.82799999999999996</v>
      </c>
      <c r="H4" s="29">
        <f>Assumptions!H$21</f>
        <v>0.58599999999999997</v>
      </c>
      <c r="I4" s="29">
        <f>Assumptions!I$21</f>
        <v>0.48299999999999998</v>
      </c>
      <c r="J4" s="29">
        <f>Assumptions!J$21</f>
        <v>0.55200000000000005</v>
      </c>
      <c r="K4" s="29">
        <f>Assumptions!K$21</f>
        <v>0.63800000000000001</v>
      </c>
      <c r="L4" s="29">
        <f>Assumptions!L$21</f>
        <v>0.74099999999999999</v>
      </c>
      <c r="M4" s="29">
        <f>Assumptions!M$21</f>
        <v>0.879</v>
      </c>
    </row>
    <row r="5" spans="1:13" x14ac:dyDescent="0.3">
      <c r="A5" s="30" t="s">
        <v>64</v>
      </c>
      <c r="B5" s="31">
        <f>ROUND(Assumptions!$C$5*B4,0)</f>
        <v>206</v>
      </c>
      <c r="C5" s="31">
        <f>ROUND(Assumptions!$C$5*C4,0)</f>
        <v>552</v>
      </c>
      <c r="D5" s="31">
        <f>ROUND(Assumptions!$C$5*D4,0)</f>
        <v>966</v>
      </c>
      <c r="E5" s="31">
        <f>ROUND(Assumptions!$C$5*E4,0)</f>
        <v>1448</v>
      </c>
      <c r="F5" s="31">
        <f>ROUND(Assumptions!$C$5*F4,0)</f>
        <v>2000</v>
      </c>
      <c r="G5" s="31">
        <f>ROUND(Assumptions!$C$5*G4,0)</f>
        <v>1656</v>
      </c>
      <c r="H5" s="31">
        <f>ROUND(Assumptions!$C$5*H4,0)</f>
        <v>1172</v>
      </c>
      <c r="I5" s="31">
        <f>ROUND(Assumptions!$C$5*I4,0)</f>
        <v>966</v>
      </c>
      <c r="J5" s="31">
        <f>ROUND(Assumptions!$C$5*J4,0)</f>
        <v>1104</v>
      </c>
      <c r="K5" s="31">
        <f>ROUND(Assumptions!$C$5*K4,0)</f>
        <v>1276</v>
      </c>
      <c r="L5" s="31">
        <f>ROUND(Assumptions!$C$5*L4,0)</f>
        <v>1482</v>
      </c>
      <c r="M5" s="31">
        <f>ROUND(Assumptions!$C$5*M4,0)</f>
        <v>1758</v>
      </c>
    </row>
    <row r="6" spans="1:13" x14ac:dyDescent="0.3">
      <c r="A6" s="7" t="s">
        <v>65</v>
      </c>
      <c r="B6" s="32">
        <f>IF(COLUMN()-1&gt;Assumptions!$C$12,1,0)</f>
        <v>1</v>
      </c>
      <c r="C6" s="32">
        <f>IF(COLUMN()-1&gt;Assumptions!$C$12,1,0)</f>
        <v>1</v>
      </c>
      <c r="D6" s="32">
        <f>IF(COLUMN()-1&gt;Assumptions!$C$12,1,0)</f>
        <v>1</v>
      </c>
      <c r="E6" s="32">
        <f>IF(COLUMN()-1&gt;Assumptions!$C$12,1,0)</f>
        <v>1</v>
      </c>
      <c r="F6" s="32">
        <f>IF(COLUMN()-1&gt;Assumptions!$C$12,1,0)</f>
        <v>1</v>
      </c>
      <c r="G6" s="32">
        <f>IF(COLUMN()-1&gt;Assumptions!$C$12,1,0)</f>
        <v>1</v>
      </c>
      <c r="H6" s="32">
        <f>IF(COLUMN()-1&gt;Assumptions!$C$12,1,0)</f>
        <v>1</v>
      </c>
      <c r="I6" s="32">
        <f>IF(COLUMN()-1&gt;Assumptions!$C$12,1,0)</f>
        <v>1</v>
      </c>
      <c r="J6" s="32">
        <f>IF(COLUMN()-1&gt;Assumptions!$C$12,1,0)</f>
        <v>1</v>
      </c>
      <c r="K6" s="32">
        <f>IF(COLUMN()-1&gt;Assumptions!$C$12,1,0)</f>
        <v>1</v>
      </c>
      <c r="L6" s="32">
        <f>IF(COLUMN()-1&gt;Assumptions!$C$12,1,0)</f>
        <v>1</v>
      </c>
      <c r="M6" s="32">
        <f>IF(COLUMN()-1&gt;Assumptions!$C$12,1,0)</f>
        <v>1</v>
      </c>
    </row>
    <row r="7" spans="1:13" x14ac:dyDescent="0.3">
      <c r="A7" s="30" t="s">
        <v>66</v>
      </c>
      <c r="B7" s="31">
        <f>ROUND(B5*Assumptions!$C$6*B6,0)</f>
        <v>41</v>
      </c>
      <c r="C7" s="31">
        <f>ROUND(C5*Assumptions!$C$6*C6,0)</f>
        <v>110</v>
      </c>
      <c r="D7" s="31">
        <f>ROUND(D5*Assumptions!$C$6*D6,0)</f>
        <v>193</v>
      </c>
      <c r="E7" s="31">
        <f>ROUND(E5*Assumptions!$C$6*E6,0)</f>
        <v>290</v>
      </c>
      <c r="F7" s="31">
        <f>ROUND(F5*Assumptions!$C$6*F6,0)</f>
        <v>400</v>
      </c>
      <c r="G7" s="31">
        <f>ROUND(G5*Assumptions!$C$6*G6,0)</f>
        <v>331</v>
      </c>
      <c r="H7" s="31">
        <f>ROUND(H5*Assumptions!$C$6*H6,0)</f>
        <v>234</v>
      </c>
      <c r="I7" s="31">
        <f>ROUND(I5*Assumptions!$C$6*I6,0)</f>
        <v>193</v>
      </c>
      <c r="J7" s="31">
        <f>ROUND(J5*Assumptions!$C$6*J6,0)</f>
        <v>221</v>
      </c>
      <c r="K7" s="31">
        <f>ROUND(K5*Assumptions!$C$6*K6,0)</f>
        <v>255</v>
      </c>
      <c r="L7" s="31">
        <f>ROUND(L5*Assumptions!$C$6*L6,0)</f>
        <v>296</v>
      </c>
      <c r="M7" s="31">
        <f>ROUND(M5*Assumptions!$C$6*M6,0)</f>
        <v>352</v>
      </c>
    </row>
    <row r="8" spans="1:13" x14ac:dyDescent="0.3">
      <c r="A8" s="33" t="s">
        <v>67</v>
      </c>
      <c r="B8" s="34">
        <f>B7*Assumptions!$C$7</f>
        <v>5289</v>
      </c>
      <c r="C8" s="34">
        <f>C7*Assumptions!$C$7</f>
        <v>14190</v>
      </c>
      <c r="D8" s="34">
        <f>D7*Assumptions!$C$7</f>
        <v>24897</v>
      </c>
      <c r="E8" s="34">
        <f>E7*Assumptions!$C$7</f>
        <v>37410</v>
      </c>
      <c r="F8" s="34">
        <f>F7*Assumptions!$C$7</f>
        <v>51600</v>
      </c>
      <c r="G8" s="34">
        <f>G7*Assumptions!$C$7</f>
        <v>42699</v>
      </c>
      <c r="H8" s="34">
        <f>H7*Assumptions!$C$7</f>
        <v>30186</v>
      </c>
      <c r="I8" s="34">
        <f>I7*Assumptions!$C$7</f>
        <v>24897</v>
      </c>
      <c r="J8" s="34">
        <f>J7*Assumptions!$C$7</f>
        <v>28509</v>
      </c>
      <c r="K8" s="34">
        <f>K7*Assumptions!$C$7</f>
        <v>32895</v>
      </c>
      <c r="L8" s="34">
        <f>L7*Assumptions!$C$7</f>
        <v>38184</v>
      </c>
      <c r="M8" s="34">
        <f>M7*Assumptions!$C$7</f>
        <v>45408</v>
      </c>
    </row>
    <row r="9" spans="1:13" x14ac:dyDescent="0.3">
      <c r="A9" s="35" t="s">
        <v>68</v>
      </c>
      <c r="B9" s="36">
        <f>B8*(1-Assumptions!$C$8)</f>
        <v>4865.88</v>
      </c>
      <c r="C9" s="36">
        <f>C8*(1-Assumptions!$C$8)</f>
        <v>13054.800000000001</v>
      </c>
      <c r="D9" s="36">
        <f>D8*(1-Assumptions!$C$8)</f>
        <v>22905.24</v>
      </c>
      <c r="E9" s="36">
        <f>E8*(1-Assumptions!$C$8)</f>
        <v>34417.200000000004</v>
      </c>
      <c r="F9" s="36">
        <f>F8*(1-Assumptions!$C$8)</f>
        <v>47472</v>
      </c>
      <c r="G9" s="36">
        <f>G8*(1-Assumptions!$C$8)</f>
        <v>39283.08</v>
      </c>
      <c r="H9" s="36">
        <f>H8*(1-Assumptions!$C$8)</f>
        <v>27771.120000000003</v>
      </c>
      <c r="I9" s="36">
        <f>I8*(1-Assumptions!$C$8)</f>
        <v>22905.24</v>
      </c>
      <c r="J9" s="36">
        <f>J8*(1-Assumptions!$C$8)</f>
        <v>26228.280000000002</v>
      </c>
      <c r="K9" s="36">
        <f>K8*(1-Assumptions!$C$8)</f>
        <v>30263.4</v>
      </c>
      <c r="L9" s="36">
        <f>L8*(1-Assumptions!$C$8)</f>
        <v>35129.279999999999</v>
      </c>
      <c r="M9" s="36">
        <f>M8*(1-Assumptions!$C$8)</f>
        <v>41775.360000000001</v>
      </c>
    </row>
    <row r="10" spans="1:13" x14ac:dyDescent="0.3">
      <c r="A10" s="7" t="s">
        <v>69</v>
      </c>
      <c r="B10" s="37">
        <f>B5</f>
        <v>206</v>
      </c>
      <c r="C10" s="37">
        <f t="shared" ref="C10:M10" si="0">MAX(0,C5-B5)</f>
        <v>346</v>
      </c>
      <c r="D10" s="37">
        <f t="shared" si="0"/>
        <v>414</v>
      </c>
      <c r="E10" s="37">
        <f t="shared" si="0"/>
        <v>482</v>
      </c>
      <c r="F10" s="37">
        <f t="shared" si="0"/>
        <v>552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138</v>
      </c>
      <c r="K10" s="37">
        <f t="shared" si="0"/>
        <v>172</v>
      </c>
      <c r="L10" s="37">
        <f t="shared" si="0"/>
        <v>206</v>
      </c>
      <c r="M10" s="37">
        <f t="shared" si="0"/>
        <v>276</v>
      </c>
    </row>
    <row r="11" spans="1:13" x14ac:dyDescent="0.3">
      <c r="A11" s="7" t="s">
        <v>70</v>
      </c>
      <c r="B11" s="8">
        <f>B10*Assumptions!$C$9</f>
        <v>2060</v>
      </c>
      <c r="C11" s="8">
        <f>C10*Assumptions!$C$9</f>
        <v>3460</v>
      </c>
      <c r="D11" s="8">
        <f>D10*Assumptions!$C$9</f>
        <v>4140</v>
      </c>
      <c r="E11" s="8">
        <f>E10*Assumptions!$C$9</f>
        <v>4820</v>
      </c>
      <c r="F11" s="8">
        <f>F10*Assumptions!$C$9</f>
        <v>5520</v>
      </c>
      <c r="G11" s="8">
        <f>G10*Assumptions!$C$9</f>
        <v>0</v>
      </c>
      <c r="H11" s="8">
        <f>H10*Assumptions!$C$9</f>
        <v>0</v>
      </c>
      <c r="I11" s="8">
        <f>I10*Assumptions!$C$9</f>
        <v>0</v>
      </c>
      <c r="J11" s="8">
        <f>J10*Assumptions!$C$9</f>
        <v>1380</v>
      </c>
      <c r="K11" s="8">
        <f>K10*Assumptions!$C$9</f>
        <v>1720</v>
      </c>
      <c r="L11" s="8">
        <f>L10*Assumptions!$C$9</f>
        <v>2060</v>
      </c>
      <c r="M11" s="8">
        <f>M10*Assumptions!$C$9</f>
        <v>2760</v>
      </c>
    </row>
    <row r="12" spans="1:13" x14ac:dyDescent="0.3">
      <c r="A12" s="7" t="s">
        <v>71</v>
      </c>
      <c r="B12" s="38">
        <f>Assumptions!$C$10</f>
        <v>9000</v>
      </c>
      <c r="C12" s="38">
        <f>Assumptions!$C$10</f>
        <v>9000</v>
      </c>
      <c r="D12" s="38">
        <f>Assumptions!$C$10</f>
        <v>9000</v>
      </c>
      <c r="E12" s="38">
        <f>Assumptions!$C$10</f>
        <v>9000</v>
      </c>
      <c r="F12" s="38">
        <f>Assumptions!$C$10</f>
        <v>9000</v>
      </c>
      <c r="G12" s="38">
        <f>Assumptions!$C$10</f>
        <v>9000</v>
      </c>
      <c r="H12" s="38">
        <f>Assumptions!$C$10</f>
        <v>9000</v>
      </c>
      <c r="I12" s="38">
        <f>Assumptions!$C$10</f>
        <v>9000</v>
      </c>
      <c r="J12" s="38">
        <f>Assumptions!$C$10</f>
        <v>9000</v>
      </c>
      <c r="K12" s="38">
        <f>Assumptions!$C$10</f>
        <v>9000</v>
      </c>
      <c r="L12" s="38">
        <f>Assumptions!$C$10</f>
        <v>9000</v>
      </c>
      <c r="M12" s="38">
        <f>Assumptions!$C$10</f>
        <v>9000</v>
      </c>
    </row>
    <row r="13" spans="1:13" x14ac:dyDescent="0.3">
      <c r="A13" s="7" t="s">
        <v>72</v>
      </c>
      <c r="B13" s="8">
        <f t="shared" ref="B13:M13" si="1">B11+B12</f>
        <v>11060</v>
      </c>
      <c r="C13" s="8">
        <f t="shared" si="1"/>
        <v>12460</v>
      </c>
      <c r="D13" s="8">
        <f t="shared" si="1"/>
        <v>13140</v>
      </c>
      <c r="E13" s="8">
        <f t="shared" si="1"/>
        <v>13820</v>
      </c>
      <c r="F13" s="8">
        <f t="shared" si="1"/>
        <v>14520</v>
      </c>
      <c r="G13" s="8">
        <f t="shared" si="1"/>
        <v>9000</v>
      </c>
      <c r="H13" s="8">
        <f t="shared" si="1"/>
        <v>9000</v>
      </c>
      <c r="I13" s="8">
        <f t="shared" si="1"/>
        <v>9000</v>
      </c>
      <c r="J13" s="8">
        <f t="shared" si="1"/>
        <v>10380</v>
      </c>
      <c r="K13" s="8">
        <f t="shared" si="1"/>
        <v>10720</v>
      </c>
      <c r="L13" s="8">
        <f t="shared" si="1"/>
        <v>11060</v>
      </c>
      <c r="M13" s="8">
        <f t="shared" si="1"/>
        <v>11760</v>
      </c>
    </row>
    <row r="14" spans="1:13" x14ac:dyDescent="0.3">
      <c r="A14" s="9" t="s">
        <v>73</v>
      </c>
      <c r="B14" s="10">
        <f t="shared" ref="B14:M14" si="2">B9-B13</f>
        <v>-6194.12</v>
      </c>
      <c r="C14" s="10">
        <f t="shared" si="2"/>
        <v>594.80000000000109</v>
      </c>
      <c r="D14" s="10">
        <f t="shared" si="2"/>
        <v>9765.2400000000016</v>
      </c>
      <c r="E14" s="10">
        <f t="shared" si="2"/>
        <v>20597.200000000004</v>
      </c>
      <c r="F14" s="10">
        <f t="shared" si="2"/>
        <v>32952</v>
      </c>
      <c r="G14" s="10">
        <f t="shared" si="2"/>
        <v>30283.08</v>
      </c>
      <c r="H14" s="10">
        <f t="shared" si="2"/>
        <v>18771.120000000003</v>
      </c>
      <c r="I14" s="10">
        <f t="shared" si="2"/>
        <v>13905.240000000002</v>
      </c>
      <c r="J14" s="10">
        <f t="shared" si="2"/>
        <v>15848.280000000002</v>
      </c>
      <c r="K14" s="10">
        <f t="shared" si="2"/>
        <v>19543.400000000001</v>
      </c>
      <c r="L14" s="10">
        <f t="shared" si="2"/>
        <v>24069.279999999999</v>
      </c>
      <c r="M14" s="10">
        <f t="shared" si="2"/>
        <v>30015.360000000001</v>
      </c>
    </row>
    <row r="15" spans="1:13" x14ac:dyDescent="0.3">
      <c r="A15" s="9" t="s">
        <v>74</v>
      </c>
      <c r="B15" s="10">
        <f>-Assumptions!$C$11+B14</f>
        <v>-18194.12</v>
      </c>
      <c r="C15" s="10">
        <f t="shared" ref="C15:M15" si="3">B15+C14</f>
        <v>-17599.32</v>
      </c>
      <c r="D15" s="10">
        <f t="shared" si="3"/>
        <v>-7834.0799999999981</v>
      </c>
      <c r="E15" s="10">
        <f t="shared" si="3"/>
        <v>12763.120000000006</v>
      </c>
      <c r="F15" s="10">
        <f t="shared" si="3"/>
        <v>45715.12000000001</v>
      </c>
      <c r="G15" s="10">
        <f t="shared" si="3"/>
        <v>75998.200000000012</v>
      </c>
      <c r="H15" s="10">
        <f t="shared" si="3"/>
        <v>94769.32</v>
      </c>
      <c r="I15" s="10">
        <f t="shared" si="3"/>
        <v>108674.56000000001</v>
      </c>
      <c r="J15" s="10">
        <f t="shared" si="3"/>
        <v>124522.84000000001</v>
      </c>
      <c r="K15" s="10">
        <f t="shared" si="3"/>
        <v>144066.24000000002</v>
      </c>
      <c r="L15" s="10">
        <f t="shared" si="3"/>
        <v>168135.52000000002</v>
      </c>
      <c r="M15" s="10">
        <f t="shared" si="3"/>
        <v>198150.88</v>
      </c>
    </row>
    <row r="17" spans="1:2" x14ac:dyDescent="0.3">
      <c r="A17" s="14" t="s">
        <v>75</v>
      </c>
      <c r="B17" s="39">
        <f>-Assumptions!$C$11</f>
        <v>-12000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showGridLines="0" workbookViewId="0"/>
  </sheetViews>
  <sheetFormatPr defaultRowHeight="14.4" x14ac:dyDescent="0.3"/>
  <cols>
    <col min="1" max="1" width="26" customWidth="1"/>
    <col min="2" max="13" width="11" customWidth="1"/>
  </cols>
  <sheetData>
    <row r="1" spans="1:13" ht="16.8" x14ac:dyDescent="0.3">
      <c r="A1" s="41" t="s">
        <v>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3" spans="1:13" x14ac:dyDescent="0.3">
      <c r="A3" s="27" t="s">
        <v>48</v>
      </c>
      <c r="B3" s="28" t="s">
        <v>49</v>
      </c>
      <c r="C3" s="28" t="s">
        <v>50</v>
      </c>
      <c r="D3" s="28" t="s">
        <v>51</v>
      </c>
      <c r="E3" s="28" t="s">
        <v>52</v>
      </c>
      <c r="F3" s="28" t="s">
        <v>53</v>
      </c>
      <c r="G3" s="28" t="s">
        <v>54</v>
      </c>
      <c r="H3" s="28" t="s">
        <v>55</v>
      </c>
      <c r="I3" s="28" t="s">
        <v>56</v>
      </c>
      <c r="J3" s="28" t="s">
        <v>57</v>
      </c>
      <c r="K3" s="28" t="s">
        <v>58</v>
      </c>
      <c r="L3" s="28" t="s">
        <v>59</v>
      </c>
      <c r="M3" s="28" t="s">
        <v>60</v>
      </c>
    </row>
    <row r="4" spans="1:13" x14ac:dyDescent="0.3">
      <c r="A4" s="7" t="s">
        <v>63</v>
      </c>
      <c r="B4" s="29">
        <f>Assumptions!B$21</f>
        <v>0.10299999999999999</v>
      </c>
      <c r="C4" s="29">
        <f>Assumptions!C$21</f>
        <v>0.27600000000000002</v>
      </c>
      <c r="D4" s="29">
        <f>Assumptions!D$21</f>
        <v>0.48299999999999998</v>
      </c>
      <c r="E4" s="29">
        <f>Assumptions!E$21</f>
        <v>0.72399999999999998</v>
      </c>
      <c r="F4" s="29">
        <f>Assumptions!F$21</f>
        <v>1</v>
      </c>
      <c r="G4" s="29">
        <f>Assumptions!G$21</f>
        <v>0.82799999999999996</v>
      </c>
      <c r="H4" s="29">
        <f>Assumptions!H$21</f>
        <v>0.58599999999999997</v>
      </c>
      <c r="I4" s="29">
        <f>Assumptions!I$21</f>
        <v>0.48299999999999998</v>
      </c>
      <c r="J4" s="29">
        <f>Assumptions!J$21</f>
        <v>0.55200000000000005</v>
      </c>
      <c r="K4" s="29">
        <f>Assumptions!K$21</f>
        <v>0.63800000000000001</v>
      </c>
      <c r="L4" s="29">
        <f>Assumptions!L$21</f>
        <v>0.74099999999999999</v>
      </c>
      <c r="M4" s="29">
        <f>Assumptions!M$21</f>
        <v>0.879</v>
      </c>
    </row>
    <row r="5" spans="1:13" x14ac:dyDescent="0.3">
      <c r="A5" s="30" t="s">
        <v>64</v>
      </c>
      <c r="B5" s="31">
        <f>ROUND(Assumptions!$D$5*B4,0)</f>
        <v>309</v>
      </c>
      <c r="C5" s="31">
        <f>ROUND(Assumptions!$D$5*C4,0)</f>
        <v>828</v>
      </c>
      <c r="D5" s="31">
        <f>ROUND(Assumptions!$D$5*D4,0)</f>
        <v>1449</v>
      </c>
      <c r="E5" s="31">
        <f>ROUND(Assumptions!$D$5*E4,0)</f>
        <v>2172</v>
      </c>
      <c r="F5" s="31">
        <f>ROUND(Assumptions!$D$5*F4,0)</f>
        <v>3000</v>
      </c>
      <c r="G5" s="31">
        <f>ROUND(Assumptions!$D$5*G4,0)</f>
        <v>2484</v>
      </c>
      <c r="H5" s="31">
        <f>ROUND(Assumptions!$D$5*H4,0)</f>
        <v>1758</v>
      </c>
      <c r="I5" s="31">
        <f>ROUND(Assumptions!$D$5*I4,0)</f>
        <v>1449</v>
      </c>
      <c r="J5" s="31">
        <f>ROUND(Assumptions!$D$5*J4,0)</f>
        <v>1656</v>
      </c>
      <c r="K5" s="31">
        <f>ROUND(Assumptions!$D$5*K4,0)</f>
        <v>1914</v>
      </c>
      <c r="L5" s="31">
        <f>ROUND(Assumptions!$D$5*L4,0)</f>
        <v>2223</v>
      </c>
      <c r="M5" s="31">
        <f>ROUND(Assumptions!$D$5*M4,0)</f>
        <v>2637</v>
      </c>
    </row>
    <row r="6" spans="1:13" x14ac:dyDescent="0.3">
      <c r="A6" s="7" t="s">
        <v>65</v>
      </c>
      <c r="B6" s="32">
        <f>IF(COLUMN()-1&gt;Assumptions!$D$12,1,0)</f>
        <v>1</v>
      </c>
      <c r="C6" s="32">
        <f>IF(COLUMN()-1&gt;Assumptions!$D$12,1,0)</f>
        <v>1</v>
      </c>
      <c r="D6" s="32">
        <f>IF(COLUMN()-1&gt;Assumptions!$D$12,1,0)</f>
        <v>1</v>
      </c>
      <c r="E6" s="32">
        <f>IF(COLUMN()-1&gt;Assumptions!$D$12,1,0)</f>
        <v>1</v>
      </c>
      <c r="F6" s="32">
        <f>IF(COLUMN()-1&gt;Assumptions!$D$12,1,0)</f>
        <v>1</v>
      </c>
      <c r="G6" s="32">
        <f>IF(COLUMN()-1&gt;Assumptions!$D$12,1,0)</f>
        <v>1</v>
      </c>
      <c r="H6" s="32">
        <f>IF(COLUMN()-1&gt;Assumptions!$D$12,1,0)</f>
        <v>1</v>
      </c>
      <c r="I6" s="32">
        <f>IF(COLUMN()-1&gt;Assumptions!$D$12,1,0)</f>
        <v>1</v>
      </c>
      <c r="J6" s="32">
        <f>IF(COLUMN()-1&gt;Assumptions!$D$12,1,0)</f>
        <v>1</v>
      </c>
      <c r="K6" s="32">
        <f>IF(COLUMN()-1&gt;Assumptions!$D$12,1,0)</f>
        <v>1</v>
      </c>
      <c r="L6" s="32">
        <f>IF(COLUMN()-1&gt;Assumptions!$D$12,1,0)</f>
        <v>1</v>
      </c>
      <c r="M6" s="32">
        <f>IF(COLUMN()-1&gt;Assumptions!$D$12,1,0)</f>
        <v>1</v>
      </c>
    </row>
    <row r="7" spans="1:13" x14ac:dyDescent="0.3">
      <c r="A7" s="30" t="s">
        <v>66</v>
      </c>
      <c r="B7" s="31">
        <f>ROUND(B5*Assumptions!$D$6*B6,0)</f>
        <v>108</v>
      </c>
      <c r="C7" s="31">
        <f>ROUND(C5*Assumptions!$D$6*C6,0)</f>
        <v>290</v>
      </c>
      <c r="D7" s="31">
        <f>ROUND(D5*Assumptions!$D$6*D6,0)</f>
        <v>507</v>
      </c>
      <c r="E7" s="31">
        <f>ROUND(E5*Assumptions!$D$6*E6,0)</f>
        <v>760</v>
      </c>
      <c r="F7" s="31">
        <f>ROUND(F5*Assumptions!$D$6*F6,0)</f>
        <v>1050</v>
      </c>
      <c r="G7" s="31">
        <f>ROUND(G5*Assumptions!$D$6*G6,0)</f>
        <v>869</v>
      </c>
      <c r="H7" s="31">
        <f>ROUND(H5*Assumptions!$D$6*H6,0)</f>
        <v>615</v>
      </c>
      <c r="I7" s="31">
        <f>ROUND(I5*Assumptions!$D$6*I6,0)</f>
        <v>507</v>
      </c>
      <c r="J7" s="31">
        <f>ROUND(J5*Assumptions!$D$6*J6,0)</f>
        <v>580</v>
      </c>
      <c r="K7" s="31">
        <f>ROUND(K5*Assumptions!$D$6*K6,0)</f>
        <v>670</v>
      </c>
      <c r="L7" s="31">
        <f>ROUND(L5*Assumptions!$D$6*L6,0)</f>
        <v>778</v>
      </c>
      <c r="M7" s="31">
        <f>ROUND(M5*Assumptions!$D$6*M6,0)</f>
        <v>923</v>
      </c>
    </row>
    <row r="8" spans="1:13" x14ac:dyDescent="0.3">
      <c r="A8" s="33" t="s">
        <v>67</v>
      </c>
      <c r="B8" s="34">
        <f>B7*Assumptions!$D$7</f>
        <v>13932</v>
      </c>
      <c r="C8" s="34">
        <f>C7*Assumptions!$D$7</f>
        <v>37410</v>
      </c>
      <c r="D8" s="34">
        <f>D7*Assumptions!$D$7</f>
        <v>65403</v>
      </c>
      <c r="E8" s="34">
        <f>E7*Assumptions!$D$7</f>
        <v>98040</v>
      </c>
      <c r="F8" s="34">
        <f>F7*Assumptions!$D$7</f>
        <v>135450</v>
      </c>
      <c r="G8" s="34">
        <f>G7*Assumptions!$D$7</f>
        <v>112101</v>
      </c>
      <c r="H8" s="34">
        <f>H7*Assumptions!$D$7</f>
        <v>79335</v>
      </c>
      <c r="I8" s="34">
        <f>I7*Assumptions!$D$7</f>
        <v>65403</v>
      </c>
      <c r="J8" s="34">
        <f>J7*Assumptions!$D$7</f>
        <v>74820</v>
      </c>
      <c r="K8" s="34">
        <f>K7*Assumptions!$D$7</f>
        <v>86430</v>
      </c>
      <c r="L8" s="34">
        <f>L7*Assumptions!$D$7</f>
        <v>100362</v>
      </c>
      <c r="M8" s="34">
        <f>M7*Assumptions!$D$7</f>
        <v>119067</v>
      </c>
    </row>
    <row r="9" spans="1:13" x14ac:dyDescent="0.3">
      <c r="A9" s="35" t="s">
        <v>68</v>
      </c>
      <c r="B9" s="36">
        <f>B8*(1-Assumptions!$D$8)</f>
        <v>13514.039999999999</v>
      </c>
      <c r="C9" s="36">
        <f>C8*(1-Assumptions!$D$8)</f>
        <v>36287.699999999997</v>
      </c>
      <c r="D9" s="36">
        <f>D8*(1-Assumptions!$D$8)</f>
        <v>63440.909999999996</v>
      </c>
      <c r="E9" s="36">
        <f>E8*(1-Assumptions!$D$8)</f>
        <v>95098.8</v>
      </c>
      <c r="F9" s="36">
        <f>F8*(1-Assumptions!$D$8)</f>
        <v>131386.5</v>
      </c>
      <c r="G9" s="36">
        <f>G8*(1-Assumptions!$D$8)</f>
        <v>108737.97</v>
      </c>
      <c r="H9" s="36">
        <f>H8*(1-Assumptions!$D$8)</f>
        <v>76954.95</v>
      </c>
      <c r="I9" s="36">
        <f>I8*(1-Assumptions!$D$8)</f>
        <v>63440.909999999996</v>
      </c>
      <c r="J9" s="36">
        <f>J8*(1-Assumptions!$D$8)</f>
        <v>72575.399999999994</v>
      </c>
      <c r="K9" s="36">
        <f>K8*(1-Assumptions!$D$8)</f>
        <v>83837.099999999991</v>
      </c>
      <c r="L9" s="36">
        <f>L8*(1-Assumptions!$D$8)</f>
        <v>97351.14</v>
      </c>
      <c r="M9" s="36">
        <f>M8*(1-Assumptions!$D$8)</f>
        <v>115494.98999999999</v>
      </c>
    </row>
    <row r="10" spans="1:13" x14ac:dyDescent="0.3">
      <c r="A10" s="7" t="s">
        <v>69</v>
      </c>
      <c r="B10" s="37">
        <f>B5</f>
        <v>309</v>
      </c>
      <c r="C10" s="37">
        <f t="shared" ref="C10:M10" si="0">MAX(0,C5-B5)</f>
        <v>519</v>
      </c>
      <c r="D10" s="37">
        <f t="shared" si="0"/>
        <v>621</v>
      </c>
      <c r="E10" s="37">
        <f t="shared" si="0"/>
        <v>723</v>
      </c>
      <c r="F10" s="37">
        <f t="shared" si="0"/>
        <v>828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207</v>
      </c>
      <c r="K10" s="37">
        <f t="shared" si="0"/>
        <v>258</v>
      </c>
      <c r="L10" s="37">
        <f t="shared" si="0"/>
        <v>309</v>
      </c>
      <c r="M10" s="37">
        <f t="shared" si="0"/>
        <v>414</v>
      </c>
    </row>
    <row r="11" spans="1:13" x14ac:dyDescent="0.3">
      <c r="A11" s="7" t="s">
        <v>70</v>
      </c>
      <c r="B11" s="8">
        <f>B10*Assumptions!$D$9</f>
        <v>1236</v>
      </c>
      <c r="C11" s="8">
        <f>C10*Assumptions!$D$9</f>
        <v>2076</v>
      </c>
      <c r="D11" s="8">
        <f>D10*Assumptions!$D$9</f>
        <v>2484</v>
      </c>
      <c r="E11" s="8">
        <f>E10*Assumptions!$D$9</f>
        <v>2892</v>
      </c>
      <c r="F11" s="8">
        <f>F10*Assumptions!$D$9</f>
        <v>3312</v>
      </c>
      <c r="G11" s="8">
        <f>G10*Assumptions!$D$9</f>
        <v>0</v>
      </c>
      <c r="H11" s="8">
        <f>H10*Assumptions!$D$9</f>
        <v>0</v>
      </c>
      <c r="I11" s="8">
        <f>I10*Assumptions!$D$9</f>
        <v>0</v>
      </c>
      <c r="J11" s="8">
        <f>J10*Assumptions!$D$9</f>
        <v>828</v>
      </c>
      <c r="K11" s="8">
        <f>K10*Assumptions!$D$9</f>
        <v>1032</v>
      </c>
      <c r="L11" s="8">
        <f>L10*Assumptions!$D$9</f>
        <v>1236</v>
      </c>
      <c r="M11" s="8">
        <f>M10*Assumptions!$D$9</f>
        <v>1656</v>
      </c>
    </row>
    <row r="12" spans="1:13" x14ac:dyDescent="0.3">
      <c r="A12" s="7" t="s">
        <v>71</v>
      </c>
      <c r="B12" s="38">
        <f>Assumptions!$D$10</f>
        <v>7500</v>
      </c>
      <c r="C12" s="38">
        <f>Assumptions!$D$10</f>
        <v>7500</v>
      </c>
      <c r="D12" s="38">
        <f>Assumptions!$D$10</f>
        <v>7500</v>
      </c>
      <c r="E12" s="38">
        <f>Assumptions!$D$10</f>
        <v>7500</v>
      </c>
      <c r="F12" s="38">
        <f>Assumptions!$D$10</f>
        <v>7500</v>
      </c>
      <c r="G12" s="38">
        <f>Assumptions!$D$10</f>
        <v>7500</v>
      </c>
      <c r="H12" s="38">
        <f>Assumptions!$D$10</f>
        <v>7500</v>
      </c>
      <c r="I12" s="38">
        <f>Assumptions!$D$10</f>
        <v>7500</v>
      </c>
      <c r="J12" s="38">
        <f>Assumptions!$D$10</f>
        <v>7500</v>
      </c>
      <c r="K12" s="38">
        <f>Assumptions!$D$10</f>
        <v>7500</v>
      </c>
      <c r="L12" s="38">
        <f>Assumptions!$D$10</f>
        <v>7500</v>
      </c>
      <c r="M12" s="38">
        <f>Assumptions!$D$10</f>
        <v>7500</v>
      </c>
    </row>
    <row r="13" spans="1:13" x14ac:dyDescent="0.3">
      <c r="A13" s="7" t="s">
        <v>72</v>
      </c>
      <c r="B13" s="8">
        <f t="shared" ref="B13:M13" si="1">B11+B12</f>
        <v>8736</v>
      </c>
      <c r="C13" s="8">
        <f t="shared" si="1"/>
        <v>9576</v>
      </c>
      <c r="D13" s="8">
        <f t="shared" si="1"/>
        <v>9984</v>
      </c>
      <c r="E13" s="8">
        <f t="shared" si="1"/>
        <v>10392</v>
      </c>
      <c r="F13" s="8">
        <f t="shared" si="1"/>
        <v>10812</v>
      </c>
      <c r="G13" s="8">
        <f t="shared" si="1"/>
        <v>7500</v>
      </c>
      <c r="H13" s="8">
        <f t="shared" si="1"/>
        <v>7500</v>
      </c>
      <c r="I13" s="8">
        <f t="shared" si="1"/>
        <v>7500</v>
      </c>
      <c r="J13" s="8">
        <f t="shared" si="1"/>
        <v>8328</v>
      </c>
      <c r="K13" s="8">
        <f t="shared" si="1"/>
        <v>8532</v>
      </c>
      <c r="L13" s="8">
        <f t="shared" si="1"/>
        <v>8736</v>
      </c>
      <c r="M13" s="8">
        <f t="shared" si="1"/>
        <v>9156</v>
      </c>
    </row>
    <row r="14" spans="1:13" x14ac:dyDescent="0.3">
      <c r="A14" s="9" t="s">
        <v>73</v>
      </c>
      <c r="B14" s="10">
        <f t="shared" ref="B14:M14" si="2">B9-B13</f>
        <v>4778.0399999999991</v>
      </c>
      <c r="C14" s="10">
        <f t="shared" si="2"/>
        <v>26711.699999999997</v>
      </c>
      <c r="D14" s="10">
        <f t="shared" si="2"/>
        <v>53456.909999999996</v>
      </c>
      <c r="E14" s="10">
        <f t="shared" si="2"/>
        <v>84706.8</v>
      </c>
      <c r="F14" s="10">
        <f t="shared" si="2"/>
        <v>120574.5</v>
      </c>
      <c r="G14" s="10">
        <f t="shared" si="2"/>
        <v>101237.97</v>
      </c>
      <c r="H14" s="10">
        <f t="shared" si="2"/>
        <v>69454.95</v>
      </c>
      <c r="I14" s="10">
        <f t="shared" si="2"/>
        <v>55940.909999999996</v>
      </c>
      <c r="J14" s="10">
        <f t="shared" si="2"/>
        <v>64247.399999999994</v>
      </c>
      <c r="K14" s="10">
        <f t="shared" si="2"/>
        <v>75305.099999999991</v>
      </c>
      <c r="L14" s="10">
        <f t="shared" si="2"/>
        <v>88615.14</v>
      </c>
      <c r="M14" s="10">
        <f t="shared" si="2"/>
        <v>106338.98999999999</v>
      </c>
    </row>
    <row r="15" spans="1:13" x14ac:dyDescent="0.3">
      <c r="A15" s="9" t="s">
        <v>74</v>
      </c>
      <c r="B15" s="10">
        <f>-Assumptions!$D$11+B14</f>
        <v>-1221.9600000000009</v>
      </c>
      <c r="C15" s="10">
        <f t="shared" ref="C15:M15" si="3">B15+C14</f>
        <v>25489.739999999998</v>
      </c>
      <c r="D15" s="10">
        <f t="shared" si="3"/>
        <v>78946.649999999994</v>
      </c>
      <c r="E15" s="10">
        <f t="shared" si="3"/>
        <v>163653.45000000001</v>
      </c>
      <c r="F15" s="10">
        <f t="shared" si="3"/>
        <v>284227.95</v>
      </c>
      <c r="G15" s="10">
        <f t="shared" si="3"/>
        <v>385465.92000000004</v>
      </c>
      <c r="H15" s="10">
        <f t="shared" si="3"/>
        <v>454920.87000000005</v>
      </c>
      <c r="I15" s="10">
        <f t="shared" si="3"/>
        <v>510861.78</v>
      </c>
      <c r="J15" s="10">
        <f t="shared" si="3"/>
        <v>575109.18000000005</v>
      </c>
      <c r="K15" s="10">
        <f t="shared" si="3"/>
        <v>650414.28</v>
      </c>
      <c r="L15" s="10">
        <f t="shared" si="3"/>
        <v>739029.42</v>
      </c>
      <c r="M15" s="10">
        <f t="shared" si="3"/>
        <v>845368.41</v>
      </c>
    </row>
    <row r="17" spans="1:2" x14ac:dyDescent="0.3">
      <c r="A17" s="14" t="s">
        <v>75</v>
      </c>
      <c r="B17" s="39">
        <f>-Assumptions!$D$11</f>
        <v>-6000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Conservative</vt:lpstr>
      <vt:lpstr>Base</vt:lpstr>
      <vt:lpstr>Optimistic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tanapatr kanjanarujiwut</cp:lastModifiedBy>
  <dcterms:created xsi:type="dcterms:W3CDTF">2026-06-16T06:47:31Z</dcterms:created>
  <dcterms:modified xsi:type="dcterms:W3CDTF">2026-06-16T06:48:09Z</dcterms:modified>
</cp:coreProperties>
</file>